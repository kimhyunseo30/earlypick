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K\Desktop\Earlypick\data-pipeline\data\sns\tiktok\raw\"/>
    </mc:Choice>
  </mc:AlternateContent>
  <bookViews>
    <workbookView xWindow="0" yWindow="0" windowWidth="28800" windowHeight="12285"/>
  </bookViews>
  <sheets>
    <sheet name="TikTok_Input" sheetId="1" r:id="rId1"/>
    <sheet name="Hashtag_Map" sheetId="2" r:id="rId2"/>
    <sheet name="Feature_Output_Example" sheetId="3" r:id="rId3"/>
    <sheet name="Guide" sheetId="4" r:id="rId4"/>
  </sheets>
  <calcPr calcId="162913"/>
</workbook>
</file>

<file path=xl/calcChain.xml><?xml version="1.0" encoding="utf-8"?>
<calcChain xmlns="http://schemas.openxmlformats.org/spreadsheetml/2006/main">
  <c r="O7" i="3" l="1"/>
  <c r="K7" i="3"/>
  <c r="J7" i="3"/>
  <c r="I7" i="3"/>
  <c r="H7" i="3"/>
  <c r="N7" i="3" s="1"/>
  <c r="G7" i="3"/>
  <c r="M7" i="3" s="1"/>
  <c r="F7" i="3"/>
  <c r="P7" i="3" s="1"/>
  <c r="E7" i="3"/>
  <c r="L7" i="3" s="1"/>
  <c r="C7" i="3"/>
  <c r="T7" i="3" s="1"/>
  <c r="B7" i="3"/>
  <c r="D7" i="3" s="1"/>
  <c r="A7" i="3"/>
  <c r="O6" i="3"/>
  <c r="K6" i="3"/>
  <c r="J6" i="3"/>
  <c r="I6" i="3"/>
  <c r="H6" i="3"/>
  <c r="N6" i="3" s="1"/>
  <c r="G6" i="3"/>
  <c r="M6" i="3" s="1"/>
  <c r="F6" i="3"/>
  <c r="P6" i="3" s="1"/>
  <c r="E6" i="3"/>
  <c r="L6" i="3" s="1"/>
  <c r="C6" i="3"/>
  <c r="T6" i="3" s="1"/>
  <c r="B6" i="3"/>
  <c r="D6" i="3" s="1"/>
  <c r="A6" i="3"/>
  <c r="O5" i="3"/>
  <c r="K5" i="3"/>
  <c r="J5" i="3"/>
  <c r="I5" i="3"/>
  <c r="H5" i="3"/>
  <c r="N5" i="3" s="1"/>
  <c r="G5" i="3"/>
  <c r="M5" i="3" s="1"/>
  <c r="F5" i="3"/>
  <c r="P5" i="3" s="1"/>
  <c r="E5" i="3"/>
  <c r="L5" i="3" s="1"/>
  <c r="C5" i="3"/>
  <c r="T5" i="3" s="1"/>
  <c r="B5" i="3"/>
  <c r="D5" i="3" s="1"/>
  <c r="A5" i="3"/>
  <c r="O4" i="3"/>
  <c r="K4" i="3"/>
  <c r="J4" i="3"/>
  <c r="I4" i="3"/>
  <c r="H4" i="3"/>
  <c r="N4" i="3" s="1"/>
  <c r="G4" i="3"/>
  <c r="M4" i="3" s="1"/>
  <c r="F4" i="3"/>
  <c r="P4" i="3" s="1"/>
  <c r="E4" i="3"/>
  <c r="L4" i="3" s="1"/>
  <c r="C4" i="3"/>
  <c r="T4" i="3" s="1"/>
  <c r="B4" i="3"/>
  <c r="D4" i="3" s="1"/>
  <c r="A4" i="3"/>
  <c r="O3" i="3"/>
  <c r="K3" i="3"/>
  <c r="J3" i="3"/>
  <c r="I3" i="3"/>
  <c r="H3" i="3"/>
  <c r="N3" i="3" s="1"/>
  <c r="G3" i="3"/>
  <c r="M3" i="3" s="1"/>
  <c r="F3" i="3"/>
  <c r="P3" i="3" s="1"/>
  <c r="E3" i="3"/>
  <c r="L3" i="3" s="1"/>
  <c r="C3" i="3"/>
  <c r="T3" i="3" s="1"/>
  <c r="B3" i="3"/>
  <c r="D3" i="3" s="1"/>
  <c r="A3" i="3"/>
  <c r="O2" i="3"/>
  <c r="K2" i="3"/>
  <c r="J2" i="3"/>
  <c r="I2" i="3"/>
  <c r="H2" i="3"/>
  <c r="N2" i="3" s="1"/>
  <c r="G2" i="3"/>
  <c r="M2" i="3" s="1"/>
  <c r="F2" i="3"/>
  <c r="P2" i="3" s="1"/>
  <c r="E2" i="3"/>
  <c r="L2" i="3" s="1"/>
  <c r="C2" i="3"/>
  <c r="T2" i="3" s="1"/>
  <c r="B2" i="3"/>
  <c r="D2" i="3" s="1"/>
  <c r="A2" i="3"/>
  <c r="Q4" i="3" l="1"/>
  <c r="R4" i="3" s="1"/>
  <c r="Q5" i="3"/>
  <c r="R5" i="3" s="1"/>
  <c r="Q6" i="3"/>
  <c r="R6" i="3" s="1"/>
  <c r="Q2" i="3"/>
  <c r="R2" i="3" s="1"/>
  <c r="Q3" i="3"/>
  <c r="R3" i="3" s="1"/>
  <c r="Q7" i="3"/>
  <c r="R7" i="3" s="1"/>
  <c r="S2" i="3"/>
  <c r="S3" i="3"/>
  <c r="S4" i="3"/>
  <c r="S5" i="3"/>
  <c r="S6" i="3"/>
  <c r="S7" i="3"/>
</calcChain>
</file>

<file path=xl/sharedStrings.xml><?xml version="1.0" encoding="utf-8"?>
<sst xmlns="http://schemas.openxmlformats.org/spreadsheetml/2006/main" count="420" uniqueCount="213">
  <si>
    <t>date</t>
  </si>
  <si>
    <t>hashtag</t>
  </si>
  <si>
    <t>hashtag_type</t>
  </si>
  <si>
    <t>rank</t>
  </si>
  <si>
    <t>is_new</t>
  </si>
  <si>
    <t>posts_7d</t>
  </si>
  <si>
    <t>posts_total</t>
  </si>
  <si>
    <t>interest_d1</t>
  </si>
  <si>
    <t>interest_d2</t>
  </si>
  <si>
    <t>interest_d3</t>
  </si>
  <si>
    <t>interest_d4</t>
  </si>
  <si>
    <t>interest_d5</t>
  </si>
  <si>
    <t>interest_d6</t>
  </si>
  <si>
    <t>interest_d7</t>
  </si>
  <si>
    <t>country_code</t>
  </si>
  <si>
    <t>period_days</t>
  </si>
  <si>
    <t>category</t>
  </si>
  <si>
    <t>creative_center_url</t>
  </si>
  <si>
    <t>note</t>
  </si>
  <si>
    <t>#홈카페</t>
  </si>
  <si>
    <t>context</t>
  </si>
  <si>
    <t>Y</t>
  </si>
  <si>
    <t>KR</t>
  </si>
  <si>
    <t>Food &amp; Beverage</t>
  </si>
  <si>
    <t>#성주참외</t>
  </si>
  <si>
    <t>product</t>
  </si>
  <si>
    <t>https://ads.tiktok.com/business/creativecenter/hashtag/%EC%84%B1%EC%A3%BC%EC%B0%B8%EC%99%B8/pc/en?countryCode=KR&amp;period=7</t>
  </si>
  <si>
    <t>상품형 해시태그. canonical_product_name=참외로 연결 가능</t>
  </si>
  <si>
    <t>#말차라떼</t>
  </si>
  <si>
    <t>#홍대맛집</t>
  </si>
  <si>
    <t>place</t>
  </si>
  <si>
    <t>장소형 해시태그. EarlyPick 상품 판단에는 보조 맥락만 사용</t>
  </si>
  <si>
    <t>#두바이초콜릿</t>
  </si>
  <si>
    <t>N</t>
  </si>
  <si>
    <t>#간식추천</t>
  </si>
  <si>
    <t>canonical_product_name</t>
  </si>
  <si>
    <t>market_match_name</t>
  </si>
  <si>
    <t>link_confidence</t>
  </si>
  <si>
    <t>use_for_naver_link</t>
  </si>
  <si>
    <t>use_for_market_price</t>
  </si>
  <si>
    <t>low</t>
  </si>
  <si>
    <t>소비 맥락. related videos에서 상품명 추출은 참고 메모로만 사용</t>
  </si>
  <si>
    <t>참외</t>
  </si>
  <si>
    <t>high</t>
  </si>
  <si>
    <t>상품형 해시태그. 네이버/시장가 연결 후보</t>
  </si>
  <si>
    <t>말차라떼</t>
  </si>
  <si>
    <t>말차</t>
  </si>
  <si>
    <t>medium</t>
  </si>
  <si>
    <t>음료형 상품. 네이버 검색/쇼핑은 연결, 원물 가격은 직접 판단 금지</t>
  </si>
  <si>
    <t>장소형. EarlyPick 상품 후보가 아니라 지역/외식 맥락</t>
  </si>
  <si>
    <t>두바이초콜릿</t>
  </si>
  <si>
    <t>가공/완제품형. 시장 원물 가격과 직접 연결하지 않음</t>
  </si>
  <si>
    <t>넓은 맥락형. 상품 연결 제외</t>
  </si>
  <si>
    <t>interest_latest</t>
  </si>
  <si>
    <t>interest_peak</t>
  </si>
  <si>
    <t>interest_slope_7d</t>
  </si>
  <si>
    <t>rank_score</t>
  </si>
  <si>
    <t>posts_7d_score</t>
  </si>
  <si>
    <t>posts_total_score</t>
  </si>
  <si>
    <t>category_score</t>
  </si>
  <si>
    <t>new_score</t>
  </si>
  <si>
    <t>tiktok_score</t>
  </si>
  <si>
    <t>tiktok_stage</t>
  </si>
  <si>
    <t>naver_link_rule</t>
  </si>
  <si>
    <t>screen_message</t>
  </si>
  <si>
    <t>EarlyPick TikTok Creative Center 수집 기준</t>
  </si>
  <si>
    <t>고정 조건</t>
  </si>
  <si>
    <t>TikTok Creative Center / Food &amp; Beverage / South Korea(KR) / Last 7 days</t>
  </si>
  <si>
    <t>핵심 원칙</t>
  </si>
  <si>
    <t>정확한 상품명 추출이 어려운 related videos는 학습용 핵심 데이터로 쓰지 않음</t>
  </si>
  <si>
    <t>수집 단위</t>
  </si>
  <si>
    <t>상품 단위가 아니라 해시태그 단위로 먼저 저장</t>
  </si>
  <si>
    <t>New 처리</t>
  </si>
  <si>
    <t>New 해시태그는 D0 이벤트로 저장하고 7일간 rank/posts/interest를 추적</t>
  </si>
  <si>
    <t>비교용 기준</t>
  </si>
  <si>
    <t>New만 모으면 편향이 생기므로 Top10~Top20 일부를 기준 샘플로 함께 저장 권장</t>
  </si>
  <si>
    <t>상품형(product)</t>
  </si>
  <si>
    <t>#성주참외, #말차라떼, #두바이초콜릿처럼 네이버 상품명과 연결 가능한 태그</t>
  </si>
  <si>
    <t>맥락형(context)</t>
  </si>
  <si>
    <t>#홈카페, #간식추천처럼 소비 맥락 태그. 상품명과 직접 연결 금지</t>
  </si>
  <si>
    <t>장소형(place)</t>
  </si>
  <si>
    <t>#홍대맛집, #서울맛집처럼 지역/외식 맥락. 상품 판단에서는 보조만 사용</t>
  </si>
  <si>
    <t>네이버 검증</t>
  </si>
  <si>
    <t>product형만 canonical_product_name 기준으로 네이버 21~200위/Top20/쇼핑 클릭과 연결</t>
  </si>
  <si>
    <t>화면 문구</t>
  </si>
  <si>
    <t>TikTok 신호만으로 유행 확정·매입·재고 확보 문구 금지</t>
  </si>
  <si>
    <t>추천 표현</t>
  </si>
  <si>
    <t>TikTok 신호 확인 / 네이버 반응 검증 필요 / 소비 맥락 관찰</t>
  </si>
  <si>
    <t>열1</t>
  </si>
  <si>
    <r>
      <t>#</t>
    </r>
    <r>
      <rPr>
        <sz val="11"/>
        <rFont val="돋움"/>
        <family val="3"/>
        <charset val="129"/>
      </rPr>
      <t>오늘뭐먹지</t>
    </r>
    <phoneticPr fontId="3" type="noConversion"/>
  </si>
  <si>
    <t>https://ads.tiktok.com/business/creativecenter/hashtag/%EC%98%A4%EB%8A%98%EB%AD%90%EB%A8%B9%EC%A7%80/pc/en?countryCode=KR&amp;period=7</t>
  </si>
  <si>
    <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</si>
  <si>
    <r>
      <t>#</t>
    </r>
    <r>
      <rPr>
        <sz val="11"/>
        <rFont val="돋움"/>
        <family val="3"/>
        <charset val="129"/>
      </rPr>
      <t>천안맛집</t>
    </r>
    <phoneticPr fontId="3" type="noConversion"/>
  </si>
  <si>
    <t>https://ads.tiktok.com/business/creativecenter/hashtag/%EC%B2%9C%EC%95%88%EB%A7%9B%EC%A7%91/pc/en?countryCode=KR&amp;period=7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</si>
  <si>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</si>
  <si>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포켓몬빵</t>
    </r>
    <phoneticPr fontId="3" type="noConversion"/>
  </si>
  <si>
    <t>brand</t>
  </si>
  <si>
    <t>https://ads.tiktok.com/business/creativecenter/hashtag/%ED%8F%AC%EC%BC%93%EB%AA%AC%EB%B9%B5/pc/en?countryCode=KR&amp;period=7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</si>
  <si>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</si>
  <si>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#drink</t>
    <phoneticPr fontId="3" type="noConversion"/>
  </si>
  <si>
    <t>https://ads.tiktok.com/business/creativecenter/hashtag/drink/pc/en?countryCode=KR&amp;period=7</t>
  </si>
  <si>
    <r>
      <rPr>
        <sz val="11"/>
        <rFont val="돋움"/>
        <family val="3"/>
        <charset val="129"/>
      </rPr>
      <t>음료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</si>
  <si>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포항맛집</t>
    </r>
    <phoneticPr fontId="3" type="noConversion"/>
  </si>
  <si>
    <r>
      <t>#</t>
    </r>
    <r>
      <rPr>
        <sz val="11"/>
        <rFont val="돋움"/>
        <family val="3"/>
        <charset val="129"/>
      </rPr>
      <t>전주여행</t>
    </r>
    <phoneticPr fontId="3" type="noConversion"/>
  </si>
  <si>
    <t>#seoulfood</t>
    <phoneticPr fontId="3" type="noConversion"/>
  </si>
  <si>
    <r>
      <t>#</t>
    </r>
    <r>
      <rPr>
        <sz val="11"/>
        <rFont val="돋움"/>
        <family val="3"/>
        <charset val="129"/>
      </rPr>
      <t>성주참외</t>
    </r>
    <phoneticPr fontId="3" type="noConversion"/>
  </si>
  <si>
    <t>#koreanstreetfood</t>
    <phoneticPr fontId="3" type="noConversion"/>
  </si>
  <si>
    <r>
      <t>#</t>
    </r>
    <r>
      <rPr>
        <sz val="11"/>
        <rFont val="돋움"/>
        <family val="3"/>
        <charset val="129"/>
      </rPr>
      <t>오이무침</t>
    </r>
    <phoneticPr fontId="3" type="noConversion"/>
  </si>
  <si>
    <r>
      <t>#</t>
    </r>
    <r>
      <rPr>
        <sz val="11"/>
        <rFont val="돋움"/>
        <family val="3"/>
        <charset val="129"/>
      </rPr>
      <t>봄나물</t>
    </r>
    <phoneticPr fontId="3" type="noConversion"/>
  </si>
  <si>
    <t>https://ads.tiktok.com/business/creativecenter/hashtag/%ED%8F%AC%ED%95%AD%EB%A7%9B%EC%A7%91/pc/en?countryCode=KR&amp;period=7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</si>
  <si>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</si>
  <si>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https://ads.tiktok.com/business/creativecenter/hashtag/%EC%A0%84%EC%A3%BC%EC%97%AC%ED%96%89/pc/en?countryCode=KR&amp;period=7</t>
  </si>
  <si>
    <t>https://ads.tiktok.com/business/creativecenter/hashtag/seoulfood/pc/en?countryCode=KR&amp;period=7</t>
  </si>
  <si>
    <t>https://ads.tiktok.com/business/creativecenter/hashtag/koreanstreetfood/pc/en?countryCode=KR&amp;period=7</t>
  </si>
  <si>
    <t>https://ads.tiktok.com/business/creativecenter/hashtag/%EC%98%A4%EC%9D%B4%EB%AC%B4%EC%B9%A8/pc/en?countryCode=KR&amp;period=7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</si>
  <si>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</si>
  <si>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https://ads.tiktok.com/business/creativecenter/hashtag/%EB%B4%84%EB%82%98%EB%AC%BC/pc/en?countryCode=KR&amp;period=7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</si>
  <si>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봄나물로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</si>
  <si>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참고만</t>
    </r>
    <phoneticPr fontId="3" type="noConversion"/>
  </si>
  <si>
    <t>길거리음식 맥락</t>
  </si>
  <si>
    <t>menu_food</t>
  </si>
  <si>
    <r>
      <t>#</t>
    </r>
    <r>
      <rPr>
        <sz val="11"/>
        <rFont val="돋움"/>
        <family val="3"/>
        <charset val="129"/>
      </rPr>
      <t>한국음식</t>
    </r>
    <phoneticPr fontId="3" type="noConversion"/>
  </si>
  <si>
    <t>https://ads.tiktok.com/business/creativecenter/hashtag/%ED%95%9C%EA%B5%AD%EC%9D%8C%EC%8B%9D/pc/en?countryCode=KR&amp;period=7</t>
  </si>
  <si>
    <t>#foodreview</t>
    <phoneticPr fontId="3" type="noConversion"/>
  </si>
  <si>
    <t>https://ads.tiktok.com/business/creativecenter/hashtag/foodreview/pc/en?countryCode=KR&amp;period=7</t>
  </si>
  <si>
    <r>
      <t>#</t>
    </r>
    <r>
      <rPr>
        <sz val="11"/>
        <rFont val="돋움"/>
        <family val="3"/>
        <charset val="129"/>
      </rPr>
      <t>서면맛집</t>
    </r>
    <phoneticPr fontId="3" type="noConversion"/>
  </si>
  <si>
    <t>https://ads.tiktok.com/business/creativecenter/hashtag/%EC%84%9C%EB%A9%B4%EB%A7%9B%EC%A7%91/pc/en?countryCode=KR&amp;period=7</t>
  </si>
  <si>
    <r>
      <t>#</t>
    </r>
    <r>
      <rPr>
        <sz val="11"/>
        <rFont val="돋움"/>
        <family val="3"/>
        <charset val="129"/>
      </rPr>
      <t>해산물</t>
    </r>
    <phoneticPr fontId="3" type="noConversion"/>
  </si>
  <si>
    <t>https://ads.tiktok.com/business/creativecenter/hashtag/%ED%95%B4%EC%82%B0%EB%AC%BC/pc/en?countryCode=KR&amp;period=7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</si>
  <si>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</t>
    </r>
    <r>
      <rPr>
        <sz val="11"/>
        <rFont val="돋움"/>
        <family val="3"/>
        <charset val="129"/>
      </rPr>
      <t>해산물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종류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</si>
  <si>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r>
      <t>#</t>
    </r>
    <r>
      <rPr>
        <sz val="11"/>
        <rFont val="돋움"/>
        <family val="3"/>
        <charset val="129"/>
      </rPr>
      <t>김해맛집</t>
    </r>
    <phoneticPr fontId="3" type="noConversion"/>
  </si>
  <si>
    <t>https://ads.tiktok.com/business/creativecenter/hashtag/%EA%B9%80%ED%95%B4%EB%A7%9B%EC%A7%91/pc/en?countryCode=KR&amp;period=7</t>
  </si>
  <si>
    <r>
      <t>#</t>
    </r>
    <r>
      <rPr>
        <sz val="11"/>
        <rFont val="돋움"/>
        <family val="3"/>
        <charset val="129"/>
      </rPr>
      <t>암꽃게</t>
    </r>
    <phoneticPr fontId="3" type="noConversion"/>
  </si>
  <si>
    <t>https://ads.tiktok.com/business/creativecenter/hashtag/%EC%95%94%EA%BD%83%EA%B2%8C/pc/en?countryCode=KR&amp;period=7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</si>
  <si>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암꽃게로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</si>
  <si>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#ube</t>
    <phoneticPr fontId="3" type="noConversion"/>
  </si>
  <si>
    <t>https://ads.tiktok.com/business/creativecenter/hashtag/ube/pc/en?countryCode=KR&amp;period=7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</si>
  <si>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우베로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</si>
  <si>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베스킨라빈스</t>
    </r>
    <phoneticPr fontId="3" type="noConversion"/>
  </si>
  <si>
    <t>https://ads.tiktok.com/business/creativecenter/hashtag/%EB%B0%B0%EC%8A%A4%ED%82%A8%EB%9D%BC%EB%B9%88%EC%8A%A4/pc/en?countryCode=KR&amp;period=7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</si>
  <si>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</t>
    </r>
    <phoneticPr fontId="3" type="noConversion"/>
  </si>
  <si>
    <t>#lemonade</t>
    <phoneticPr fontId="3" type="noConversion"/>
  </si>
  <si>
    <t>https://ads.tiktok.com/business/creativecenter/hashtag/lemonade/pc/en?countryCode=KR&amp;period=7</t>
  </si>
  <si>
    <t>레몬에이드 음료명과 연결 가능</t>
    <phoneticPr fontId="3" type="noConversion"/>
  </si>
  <si>
    <r>
      <t>#</t>
    </r>
    <r>
      <rPr>
        <sz val="11"/>
        <rFont val="돋움"/>
        <family val="3"/>
        <charset val="129"/>
      </rPr>
      <t>마늘쫑</t>
    </r>
    <phoneticPr fontId="3" type="noConversion"/>
  </si>
  <si>
    <t>https://ads.tiktok.com/business/creativecenter/hashtag/%EB%A7%88%EB%8A%98%EC%AB%91/pc/en?countryCode=KR&amp;period=7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</si>
  <si>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마늘쫑으로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</si>
  <si>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호박인절미</t>
    </r>
    <phoneticPr fontId="3" type="noConversion"/>
  </si>
  <si>
    <t>https://ads.tiktok.com/business/creativecenter/hashtag/%ED%98%B8%EB%B0%95%EC%9D%B8%EC%A0%88%EB%AF%B8/pc/en?countryCode=KR&amp;period=7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</si>
  <si>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호박인절미로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</si>
  <si>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다이어트간식</t>
    </r>
    <phoneticPr fontId="3" type="noConversion"/>
  </si>
  <si>
    <t>https://ads.tiktok.com/business/creativecenter/hashtag/%EB%8B%A4%EC%9D%B4%EC%96%B4%ED%8A%B8%EA%B0%84%EC%8B%9D/pc/en?countryCode=KR&amp;period=7</t>
  </si>
  <si>
    <r>
      <rPr>
        <sz val="11"/>
        <rFont val="돋움"/>
        <family val="3"/>
        <charset val="129"/>
      </rPr>
      <t>다이어트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간식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</si>
  <si>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r>
      <t>#</t>
    </r>
    <r>
      <rPr>
        <sz val="11"/>
        <rFont val="돋움"/>
        <family val="3"/>
        <charset val="129"/>
      </rPr>
      <t>샌드위치</t>
    </r>
    <phoneticPr fontId="3" type="noConversion"/>
  </si>
  <si>
    <t>https://ads.tiktok.com/business/creativecenter/hashtag/%EC%83%8C%EB%93%9C%EC%9C%84%EC%B9%98/pc/en?countryCode=KR&amp;period=7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</si>
  <si>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샌드위치로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</si>
  <si>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전주맛집</t>
    </r>
    <phoneticPr fontId="3" type="noConversion"/>
  </si>
  <si>
    <r>
      <t>#</t>
    </r>
    <r>
      <rPr>
        <sz val="11"/>
        <rFont val="돋움"/>
        <family val="3"/>
        <charset val="129"/>
      </rPr>
      <t>저녁메뉴</t>
    </r>
    <phoneticPr fontId="3" type="noConversion"/>
  </si>
  <si>
    <t>https://ads.tiktok.com/business/creativecenter/hashtag/%EC%A0%80%EB%85%81%EB%A9%94%EB%89%B4/pc/en?countryCode=KR&amp;period=7</t>
  </si>
  <si>
    <r>
      <rPr>
        <sz val="11"/>
        <rFont val="돋움"/>
        <family val="3"/>
        <charset val="129"/>
      </rPr>
      <t>저녁메뉴명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</si>
  <si>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t>https://ads.tiktok.com/business/creativecenter/hashtag/%EC%A0%84%EC%A3%BC%EB%A7%9B%EC%A7%91/pc/en?countryCode=KR&amp;period=7</t>
  </si>
  <si>
    <r>
      <t>#</t>
    </r>
    <r>
      <rPr>
        <sz val="11"/>
        <rFont val="돋움"/>
        <family val="3"/>
        <charset val="129"/>
      </rPr>
      <t>열무김치</t>
    </r>
    <phoneticPr fontId="3" type="noConversion"/>
  </si>
  <si>
    <t>https://ads.tiktok.com/business/creativecenter/hashtag/%EC%97%B4%EB%AC%B4%EA%B9%80%EC%B9%98/pc/en?countryCode=KR&amp;period=7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</si>
  <si>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열무김치로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</si>
  <si>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두리안</t>
    </r>
    <phoneticPr fontId="3" type="noConversion"/>
  </si>
  <si>
    <t>https://ads.tiktok.com/business/creativecenter/hashtag/%EB%91%90%EB%A6%AC%EC%95%88/pc/en?countryCode=KR&amp;period=7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</si>
  <si>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두리안로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</si>
  <si>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오이소박이</t>
    </r>
    <phoneticPr fontId="3" type="noConversion"/>
  </si>
  <si>
    <t>https://ads.tiktok.com/business/creativecenter/hashtag/%EC%98%A4%EC%9D%B4%EC%86%8C%EB%B0%95%EC%9D%B4/pc/en?countryCode=KR&amp;period=7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</si>
  <si>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오이소박이로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</si>
  <si>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#streetfood</t>
    <phoneticPr fontId="3" type="noConversion"/>
  </si>
  <si>
    <t>https://ads.tiktok.com/business/creativecenter/hashtag/streetfood/pc/en?countryCode=KR&amp;period=7</t>
  </si>
  <si>
    <t>길거리음식 맥락</t>
    <phoneticPr fontId="3" type="noConversion"/>
  </si>
  <si>
    <r>
      <t>#</t>
    </r>
    <r>
      <rPr>
        <sz val="11"/>
        <rFont val="돋움"/>
        <family val="3"/>
        <charset val="129"/>
      </rPr>
      <t>제철음식</t>
    </r>
    <phoneticPr fontId="3" type="noConversion"/>
  </si>
  <si>
    <t>https://ads.tiktok.com/business/creativecenter/hashtag/%EC%A0%9C%EC%B2%A0%EC%9D%8C%EC%8B%9D/pc/en?countryCode=KR&amp;period=7</t>
  </si>
  <si>
    <r>
      <rPr>
        <sz val="11"/>
        <rFont val="돋움"/>
        <family val="3"/>
        <charset val="129"/>
      </rPr>
      <t>제철음식명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</si>
  <si>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r>
      <t>#</t>
    </r>
    <r>
      <rPr>
        <sz val="11"/>
        <rFont val="돋움"/>
        <family val="3"/>
        <charset val="129"/>
      </rPr>
      <t>봄동비빔밥</t>
    </r>
    <phoneticPr fontId="3" type="noConversion"/>
  </si>
  <si>
    <t>https://ads.tiktok.com/business/creativecenter/hashtag/%EB%B4%84%EB%8F%99%EB%B9%84%EB%B9%94%EB%B0%A5/pc/en?countryCode=KR&amp;period=7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</si>
  <si>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봄동으로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</si>
  <si>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피자맛집</t>
    </r>
    <phoneticPr fontId="3" type="noConversion"/>
  </si>
  <si>
    <t>https://ads.tiktok.com/business/creativecenter/hashtag/%ED%94%BC%EC%9E%90%EB%A7%9B%EC%A7%91/pc/en?countryCode=KR&amp;period=7</t>
  </si>
  <si>
    <t>#fruit</t>
    <phoneticPr fontId="3" type="noConversion"/>
  </si>
  <si>
    <t>https://ads.tiktok.com/business/creativecenter/hashtag/fruit/pc/en?countryCode=KR&amp;period=7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</si>
  <si>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과일로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</si>
  <si>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마늘쫑무침</t>
    </r>
    <phoneticPr fontId="3" type="noConversion"/>
  </si>
  <si>
    <t>https://ads.tiktok.com/business/creativecenter/hashtag/%EB%A7%88%EB%8A%98%EC%AB%91%EB%AC%B4%EC%B9%A8/pc/en?countryCode=KR&amp;period=7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</si>
  <si>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피자로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</si>
  <si>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마늘쫑로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</si>
  <si>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경주카페</t>
    </r>
    <phoneticPr fontId="3" type="noConversion"/>
  </si>
  <si>
    <t>https://ads.tiktok.com/business/creativecenter/hashtag/%EA%B2%BD%EC%A3%BC%EC%B9%B4%ED%8E%98/pc/en?countryCode=KR&amp;period=7</t>
  </si>
  <si>
    <r>
      <t>#</t>
    </r>
    <r>
      <rPr>
        <sz val="11"/>
        <rFont val="돋움"/>
        <family val="3"/>
        <charset val="129"/>
      </rPr>
      <t>컵빙수</t>
    </r>
    <phoneticPr fontId="3" type="noConversion"/>
  </si>
  <si>
    <t>https://ads.tiktok.com/business/creativecenter/hashtag/%EC%BB%B5%EB%B9%99%EC%88%98/pc/en?countryCode=KR&amp;period=7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</si>
  <si>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컵빙수로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</si>
  <si>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조개구이</t>
    </r>
    <phoneticPr fontId="3" type="noConversion"/>
  </si>
  <si>
    <t>https://ads.tiktok.com/business/creativecenter/hashtag/%EC%A1%B0%EA%B0%9C%EA%B5%AC%EC%9D%B4/pc/en?countryCode=KR&amp;period=7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</si>
  <si>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조개구이로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</si>
  <si>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오이지</t>
    </r>
    <phoneticPr fontId="3" type="noConversion"/>
  </si>
  <si>
    <t>https://ads.tiktok.com/business/creativecenter/hashtag/%EC%98%A4%EC%9D%B4%EC%A7%80/pc/en?countryCode=KR&amp;period=7</t>
  </si>
  <si>
    <r>
      <t>#</t>
    </r>
    <r>
      <rPr>
        <sz val="11"/>
        <rFont val="돋움"/>
        <family val="3"/>
        <charset val="129"/>
      </rPr>
      <t>마늘쫑장아찌</t>
    </r>
    <phoneticPr fontId="3" type="noConversion"/>
  </si>
  <si>
    <t>https://ads.tiktok.com/business/creativecenter/hashtag/%EB%A7%88%EB%8A%98%EC%AB%91%EC%9E%A5%EC%95%84%EC%B0%8C/pc/en?countryCode=KR&amp;period=7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</si>
  <si>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마늘쫑로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</si>
  <si>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매실청</t>
    </r>
    <phoneticPr fontId="3" type="noConversion"/>
  </si>
  <si>
    <t>https://ads.tiktok.com/business/creativecenter/hashtag/%EB%A7%A4%EC%8B%A4%EC%B2%AD/pc/en?countryCode=KR&amp;period=7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</si>
  <si>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매실청로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</si>
  <si>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돼지껍데기</t>
    </r>
    <phoneticPr fontId="3" type="noConversion"/>
  </si>
  <si>
    <t>https://ads.tiktok.com/business/creativecenter/hashtag/%EB%8F%BC%EC%A7%80%EA%BB%8D%EB%8D%B0%EA%B8%B0/pc/en?countryCode=KR&amp;period=7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</si>
  <si>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돼지껍데기로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</si>
  <si>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믹스커피</t>
    </r>
    <phoneticPr fontId="3" type="noConversion"/>
  </si>
  <si>
    <t>https://ads.tiktok.com/business/creativecenter/hashtag/%EB%AF%B9%EC%8A%A4%EC%BB%A4%ED%94%BC/pc/en?countryCode=KR&amp;period=7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</si>
  <si>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믹스커피로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</si>
  <si>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크런치</t>
    </r>
    <phoneticPr fontId="3" type="noConversion"/>
  </si>
  <si>
    <t>https://ads.tiktok.com/business/creativecenter/hashtag/%ED%81%AC%EB%9F%B0%EC%B9%98/pc/en?countryCode=KR&amp;period=7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</si>
  <si>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크런치로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</si>
</sst>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 applyAlignment="1">
      <alignment wrapText="1"/>
    </xf>
    <xf numFmtId="1" fontId="0" fillId="0" borderId="1" xfId="1" applyNumberFormat="1" applyFont="1" applyFill="1" applyBorder="1" applyAlignment="1">
      <alignment wrapText="1"/>
    </xf>
    <xf numFmtId="0" fontId="4" fillId="0" borderId="0" xfId="1" applyNumberFormat="1" applyFont="1" applyFill="1" applyBorder="1" applyAlignment="1">
      <alignment wrapText="1"/>
    </xf>
    <xf numFmtId="0" fontId="4" fillId="0" borderId="1" xfId="1" applyNumberFormat="1" applyFont="1" applyFill="1" applyBorder="1" applyAlignment="1">
      <alignment wrapText="1"/>
    </xf>
  </cellXfs>
  <cellStyles count="2">
    <cellStyle name="Normal" xfId="1"/>
    <cellStyle name="표준" xfId="0" builtinId="0"/>
  </cellStyles>
  <dxfs count="3"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ikTokInputTable" displayName="TikTokInputTable" ref="A1:S45">
  <tableColumns count="19">
    <tableColumn id="1" name="date"/>
    <tableColumn id="2" name="hashtag"/>
    <tableColumn id="3" name="hashtag_type"/>
    <tableColumn id="4" name="rank"/>
    <tableColumn id="5" name="is_new"/>
    <tableColumn id="6" name="posts_7d"/>
    <tableColumn id="7" name="posts_total"/>
    <tableColumn id="8" name="interest_d1"/>
    <tableColumn id="9" name="interest_d2"/>
    <tableColumn id="10" name="interest_d3"/>
    <tableColumn id="11" name="interest_d4"/>
    <tableColumn id="12" name="interest_d5"/>
    <tableColumn id="13" name="interest_d6"/>
    <tableColumn id="14" name="interest_d7"/>
    <tableColumn id="15" name="country_code"/>
    <tableColumn id="16" name="period_days"/>
    <tableColumn id="17" name="category"/>
    <tableColumn id="18" name="creative_center_url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shtagMapTable" displayName="HashtagMapTable" ref="A1:H7">
  <tableColumns count="8">
    <tableColumn id="1" name="hashtag"/>
    <tableColumn id="2" name="hashtag_type"/>
    <tableColumn id="3" name="canonical_product_name"/>
    <tableColumn id="4" name="market_match_name"/>
    <tableColumn id="5" name="link_confidence"/>
    <tableColumn id="6" name="use_for_naver_link"/>
    <tableColumn id="7" name="use_for_market_price"/>
    <tableColumn id="8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ExampleTable" displayName="FeatureExampleTable" ref="A1:T7">
  <tableColumns count="20">
    <tableColumn id="1" name="date"/>
    <tableColumn id="2" name="hashtag"/>
    <tableColumn id="3" name="hashtag_type"/>
    <tableColumn id="4" name="canonical_product_name"/>
    <tableColumn id="5" name="rank"/>
    <tableColumn id="6" name="is_new"/>
    <tableColumn id="7" name="posts_7d"/>
    <tableColumn id="8" name="posts_total"/>
    <tableColumn id="9" name="interest_latest"/>
    <tableColumn id="10" name="interest_peak"/>
    <tableColumn id="11" name="interest_slope_7d"/>
    <tableColumn id="12" name="rank_score"/>
    <tableColumn id="13" name="posts_7d_score"/>
    <tableColumn id="14" name="posts_total_score"/>
    <tableColumn id="15" name="category_score"/>
    <tableColumn id="16" name="new_score"/>
    <tableColumn id="17" name="tiktok_score"/>
    <tableColumn id="18" name="tiktok_stage"/>
    <tableColumn id="19" name="naver_link_rule"/>
    <tableColumn id="20" name="screen_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uideTable" displayName="GuideTable" ref="A1:B12">
  <tableColumns count="2">
    <tableColumn id="1" name="EarlyPick TikTok Creative Center 수집 기준"/>
    <tableColumn id="2" name="열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topLeftCell="A39" workbookViewId="0">
      <selection activeCell="D2" sqref="D2:D45"/>
    </sheetView>
  </sheetViews>
  <sheetFormatPr defaultRowHeight="14.25"/>
  <cols>
    <col min="1" max="1" width="12" customWidth="1"/>
    <col min="2" max="2" width="16" customWidth="1"/>
    <col min="3" max="3" width="12" customWidth="1"/>
    <col min="4" max="5" width="8" customWidth="1"/>
    <col min="6" max="7" width="12" customWidth="1"/>
    <col min="8" max="16" width="10" customWidth="1"/>
    <col min="17" max="17" width="18" customWidth="1"/>
    <col min="18" max="18" width="42" customWidth="1"/>
    <col min="19" max="19" width="45" customWidth="1"/>
  </cols>
  <sheetData>
    <row r="1" spans="1:1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.5">
      <c r="A2" s="4">
        <v>46156</v>
      </c>
      <c r="B2" s="3" t="s">
        <v>170</v>
      </c>
      <c r="C2" s="3" t="s">
        <v>20</v>
      </c>
      <c r="D2" s="3">
        <v>1</v>
      </c>
      <c r="E2" s="3" t="s">
        <v>21</v>
      </c>
      <c r="F2" s="6">
        <v>204</v>
      </c>
      <c r="G2" s="6">
        <v>2000000</v>
      </c>
      <c r="H2" s="6">
        <v>81</v>
      </c>
      <c r="I2" s="6">
        <v>76</v>
      </c>
      <c r="J2" s="6">
        <v>89</v>
      </c>
      <c r="K2" s="6">
        <v>89</v>
      </c>
      <c r="L2" s="6">
        <v>88</v>
      </c>
      <c r="M2" s="6">
        <v>100</v>
      </c>
      <c r="N2" s="6">
        <v>85</v>
      </c>
      <c r="O2" s="3" t="s">
        <v>22</v>
      </c>
      <c r="P2" s="3">
        <v>7</v>
      </c>
      <c r="Q2" s="3" t="s">
        <v>23</v>
      </c>
      <c r="R2" s="3" t="s">
        <v>171</v>
      </c>
      <c r="S2" s="8" t="s">
        <v>172</v>
      </c>
    </row>
    <row r="3" spans="1:19" ht="57">
      <c r="A3" s="4">
        <v>46156</v>
      </c>
      <c r="B3" s="2" t="s">
        <v>89</v>
      </c>
      <c r="C3" s="2" t="s">
        <v>20</v>
      </c>
      <c r="D3" s="2">
        <v>2</v>
      </c>
      <c r="E3" s="2" t="s">
        <v>33</v>
      </c>
      <c r="F3" s="5">
        <v>409</v>
      </c>
      <c r="G3" s="5">
        <v>24000</v>
      </c>
      <c r="H3" s="5">
        <v>82</v>
      </c>
      <c r="I3" s="5">
        <v>85</v>
      </c>
      <c r="J3" s="5">
        <v>96</v>
      </c>
      <c r="K3" s="5">
        <v>98</v>
      </c>
      <c r="L3" s="5">
        <v>100</v>
      </c>
      <c r="M3" s="5">
        <v>95</v>
      </c>
      <c r="N3" s="5">
        <v>87</v>
      </c>
      <c r="O3" s="2" t="s">
        <v>22</v>
      </c>
      <c r="P3" s="2">
        <v>7</v>
      </c>
      <c r="Q3" s="2" t="s">
        <v>23</v>
      </c>
      <c r="R3" s="2" t="s">
        <v>90</v>
      </c>
      <c r="S3" s="7" t="s">
        <v>91</v>
      </c>
    </row>
    <row r="4" spans="1:19" ht="42.75">
      <c r="A4" s="4">
        <v>46156</v>
      </c>
      <c r="B4" s="3" t="s">
        <v>121</v>
      </c>
      <c r="C4" s="3" t="s">
        <v>20</v>
      </c>
      <c r="D4" s="3">
        <v>3</v>
      </c>
      <c r="E4" s="3" t="s">
        <v>33</v>
      </c>
      <c r="F4" s="6">
        <v>251</v>
      </c>
      <c r="G4" s="6">
        <v>24000</v>
      </c>
      <c r="H4" s="6">
        <v>62</v>
      </c>
      <c r="I4" s="6">
        <v>83</v>
      </c>
      <c r="J4" s="6">
        <v>94</v>
      </c>
      <c r="K4" s="6">
        <v>100</v>
      </c>
      <c r="L4" s="6">
        <v>84</v>
      </c>
      <c r="M4" s="6">
        <v>90</v>
      </c>
      <c r="N4" s="6">
        <v>77</v>
      </c>
      <c r="O4" s="3" t="s">
        <v>22</v>
      </c>
      <c r="P4" s="3">
        <v>7</v>
      </c>
      <c r="Q4" s="3" t="s">
        <v>23</v>
      </c>
      <c r="R4" s="3" t="s">
        <v>122</v>
      </c>
      <c r="S4" s="2" t="s">
        <v>94</v>
      </c>
    </row>
    <row r="5" spans="1:19" ht="42.75">
      <c r="A5" s="4">
        <v>46156</v>
      </c>
      <c r="B5" s="3" t="s">
        <v>92</v>
      </c>
      <c r="C5" s="3" t="s">
        <v>30</v>
      </c>
      <c r="D5" s="3">
        <v>4</v>
      </c>
      <c r="E5" s="3" t="s">
        <v>33</v>
      </c>
      <c r="F5" s="6">
        <v>116</v>
      </c>
      <c r="G5" s="6">
        <v>7000</v>
      </c>
      <c r="H5" s="6">
        <v>69</v>
      </c>
      <c r="I5" s="6">
        <v>67</v>
      </c>
      <c r="J5" s="6">
        <v>99</v>
      </c>
      <c r="K5" s="6">
        <v>100</v>
      </c>
      <c r="L5" s="6">
        <v>77</v>
      </c>
      <c r="M5" s="6">
        <v>64</v>
      </c>
      <c r="N5" s="6">
        <v>57</v>
      </c>
      <c r="O5" s="3" t="s">
        <v>22</v>
      </c>
      <c r="P5" s="3">
        <v>7</v>
      </c>
      <c r="Q5" s="3" t="s">
        <v>23</v>
      </c>
      <c r="R5" s="3" t="s">
        <v>93</v>
      </c>
      <c r="S5" s="2" t="s">
        <v>31</v>
      </c>
    </row>
    <row r="6" spans="1:19" ht="42.75">
      <c r="A6" s="4">
        <v>46156</v>
      </c>
      <c r="B6" s="3" t="s">
        <v>173</v>
      </c>
      <c r="C6" s="3" t="s">
        <v>120</v>
      </c>
      <c r="D6" s="3">
        <v>5</v>
      </c>
      <c r="E6" s="3" t="s">
        <v>21</v>
      </c>
      <c r="F6" s="6">
        <v>77</v>
      </c>
      <c r="G6" s="6">
        <v>4000</v>
      </c>
      <c r="H6" s="6">
        <v>75</v>
      </c>
      <c r="I6" s="6">
        <v>100</v>
      </c>
      <c r="J6" s="6">
        <v>62</v>
      </c>
      <c r="K6" s="6">
        <v>92</v>
      </c>
      <c r="L6" s="6">
        <v>77</v>
      </c>
      <c r="M6" s="6">
        <v>72</v>
      </c>
      <c r="N6" s="6">
        <v>77</v>
      </c>
      <c r="O6" s="3" t="s">
        <v>22</v>
      </c>
      <c r="P6" s="3">
        <v>7</v>
      </c>
      <c r="Q6" s="3" t="s">
        <v>23</v>
      </c>
      <c r="R6" s="3" t="s">
        <v>174</v>
      </c>
      <c r="S6" s="3" t="s">
        <v>175</v>
      </c>
    </row>
    <row r="7" spans="1:19" ht="15.75" customHeight="1">
      <c r="A7" s="4">
        <v>46156</v>
      </c>
      <c r="B7" s="3" t="s">
        <v>150</v>
      </c>
      <c r="C7" s="3" t="s">
        <v>20</v>
      </c>
      <c r="D7" s="3">
        <v>6</v>
      </c>
      <c r="E7" s="3" t="s">
        <v>33</v>
      </c>
      <c r="F7" s="6">
        <v>77</v>
      </c>
      <c r="G7" s="6">
        <v>6000</v>
      </c>
      <c r="H7" s="6">
        <v>64</v>
      </c>
      <c r="I7" s="6">
        <v>67</v>
      </c>
      <c r="J7" s="6">
        <v>60</v>
      </c>
      <c r="K7" s="6">
        <v>100</v>
      </c>
      <c r="L7" s="6">
        <v>74</v>
      </c>
      <c r="M7" s="6">
        <v>65</v>
      </c>
      <c r="N7" s="6">
        <v>64</v>
      </c>
      <c r="O7" s="3" t="s">
        <v>22</v>
      </c>
      <c r="P7" s="3">
        <v>7</v>
      </c>
      <c r="Q7" s="3" t="s">
        <v>23</v>
      </c>
      <c r="R7" s="3" t="s">
        <v>151</v>
      </c>
      <c r="S7" s="3" t="s">
        <v>152</v>
      </c>
    </row>
    <row r="8" spans="1:19" ht="42.75">
      <c r="A8" s="4">
        <v>46156</v>
      </c>
      <c r="B8" s="3" t="s">
        <v>161</v>
      </c>
      <c r="C8" s="3" t="s">
        <v>25</v>
      </c>
      <c r="D8" s="3">
        <v>8</v>
      </c>
      <c r="E8" s="3" t="s">
        <v>33</v>
      </c>
      <c r="F8" s="6">
        <v>36</v>
      </c>
      <c r="G8" s="6">
        <v>2000</v>
      </c>
      <c r="H8" s="6">
        <v>44</v>
      </c>
      <c r="I8" s="6">
        <v>100</v>
      </c>
      <c r="J8" s="6">
        <v>59</v>
      </c>
      <c r="K8" s="6">
        <v>47</v>
      </c>
      <c r="L8" s="6">
        <v>38</v>
      </c>
      <c r="M8" s="6">
        <v>37</v>
      </c>
      <c r="N8" s="6">
        <v>59</v>
      </c>
      <c r="O8" s="3" t="s">
        <v>22</v>
      </c>
      <c r="P8" s="3">
        <v>7</v>
      </c>
      <c r="Q8" s="3" t="s">
        <v>23</v>
      </c>
      <c r="R8" s="3" t="s">
        <v>162</v>
      </c>
      <c r="S8" s="2" t="s">
        <v>163</v>
      </c>
    </row>
    <row r="9" spans="1:19" ht="42.75">
      <c r="A9" s="4">
        <v>46156</v>
      </c>
      <c r="B9" s="3" t="s">
        <v>156</v>
      </c>
      <c r="C9" s="3" t="s">
        <v>30</v>
      </c>
      <c r="D9" s="3">
        <v>9</v>
      </c>
      <c r="E9" s="3" t="s">
        <v>33</v>
      </c>
      <c r="F9" s="6">
        <v>93</v>
      </c>
      <c r="G9" s="6">
        <v>8000</v>
      </c>
      <c r="H9" s="6">
        <v>79</v>
      </c>
      <c r="I9" s="6">
        <v>97</v>
      </c>
      <c r="J9" s="6">
        <v>91</v>
      </c>
      <c r="K9" s="6">
        <v>92</v>
      </c>
      <c r="L9" s="6">
        <v>87</v>
      </c>
      <c r="M9" s="6">
        <v>100</v>
      </c>
      <c r="N9" s="6">
        <v>100</v>
      </c>
      <c r="O9" s="3" t="s">
        <v>22</v>
      </c>
      <c r="P9" s="3">
        <v>7</v>
      </c>
      <c r="Q9" s="3" t="s">
        <v>23</v>
      </c>
      <c r="R9" s="3" t="s">
        <v>160</v>
      </c>
      <c r="S9" s="2" t="s">
        <v>31</v>
      </c>
    </row>
    <row r="10" spans="1:19" ht="42.75">
      <c r="A10" s="4">
        <v>46156</v>
      </c>
      <c r="B10" s="3" t="s">
        <v>106</v>
      </c>
      <c r="C10" s="3" t="s">
        <v>20</v>
      </c>
      <c r="D10" s="3">
        <v>10</v>
      </c>
      <c r="E10" s="3" t="s">
        <v>33</v>
      </c>
      <c r="F10" s="6">
        <v>71</v>
      </c>
      <c r="G10" s="6">
        <v>63000</v>
      </c>
      <c r="H10" s="6">
        <v>100</v>
      </c>
      <c r="I10" s="6">
        <v>75</v>
      </c>
      <c r="J10" s="6">
        <v>89</v>
      </c>
      <c r="K10" s="6">
        <v>88</v>
      </c>
      <c r="L10" s="6">
        <v>67</v>
      </c>
      <c r="M10" s="6">
        <v>93</v>
      </c>
      <c r="N10" s="6">
        <v>99</v>
      </c>
      <c r="O10" s="3" t="s">
        <v>22</v>
      </c>
      <c r="P10" s="3">
        <v>7</v>
      </c>
      <c r="Q10" s="3" t="s">
        <v>23</v>
      </c>
      <c r="R10" s="3" t="s">
        <v>113</v>
      </c>
      <c r="S10" t="s">
        <v>119</v>
      </c>
    </row>
    <row r="11" spans="1:19" ht="28.5">
      <c r="A11" s="4">
        <v>46156</v>
      </c>
      <c r="B11" s="3" t="s">
        <v>123</v>
      </c>
      <c r="C11" s="3" t="s">
        <v>20</v>
      </c>
      <c r="D11" s="3">
        <v>12</v>
      </c>
      <c r="E11" s="3" t="s">
        <v>33</v>
      </c>
      <c r="F11" s="6">
        <v>186</v>
      </c>
      <c r="G11" s="6">
        <v>3000000</v>
      </c>
      <c r="H11" s="6">
        <v>91</v>
      </c>
      <c r="I11" s="6">
        <v>100</v>
      </c>
      <c r="J11" s="6">
        <v>100</v>
      </c>
      <c r="K11" s="6">
        <v>96</v>
      </c>
      <c r="L11" s="6">
        <v>98</v>
      </c>
      <c r="M11" s="6">
        <v>96</v>
      </c>
      <c r="N11" s="6">
        <v>91</v>
      </c>
      <c r="O11" s="3" t="s">
        <v>22</v>
      </c>
      <c r="P11" s="3">
        <v>7</v>
      </c>
      <c r="Q11" s="3" t="s">
        <v>23</v>
      </c>
      <c r="R11" s="3" t="s">
        <v>124</v>
      </c>
      <c r="S11" s="2" t="s">
        <v>118</v>
      </c>
    </row>
    <row r="12" spans="1:19" ht="42.75">
      <c r="A12" s="4">
        <v>46156</v>
      </c>
      <c r="B12" s="3" t="s">
        <v>164</v>
      </c>
      <c r="C12" s="3" t="s">
        <v>25</v>
      </c>
      <c r="D12" s="3">
        <v>13</v>
      </c>
      <c r="E12" s="3" t="s">
        <v>33</v>
      </c>
      <c r="F12" s="6">
        <v>34</v>
      </c>
      <c r="G12" s="6">
        <v>5000</v>
      </c>
      <c r="H12" s="6">
        <v>48</v>
      </c>
      <c r="I12" s="6">
        <v>22</v>
      </c>
      <c r="J12" s="6">
        <v>36</v>
      </c>
      <c r="K12" s="6">
        <v>50</v>
      </c>
      <c r="L12" s="6">
        <v>62</v>
      </c>
      <c r="M12" s="6">
        <v>100</v>
      </c>
      <c r="N12" s="6">
        <v>41</v>
      </c>
      <c r="O12" s="3" t="s">
        <v>22</v>
      </c>
      <c r="P12" s="3">
        <v>7</v>
      </c>
      <c r="Q12" s="3" t="s">
        <v>23</v>
      </c>
      <c r="R12" s="3" t="s">
        <v>165</v>
      </c>
      <c r="S12" s="2" t="s">
        <v>166</v>
      </c>
    </row>
    <row r="13" spans="1:19" ht="42.75">
      <c r="A13" s="4">
        <v>46156</v>
      </c>
      <c r="B13" s="3" t="s">
        <v>125</v>
      </c>
      <c r="C13" s="3" t="s">
        <v>30</v>
      </c>
      <c r="D13" s="3">
        <v>14</v>
      </c>
      <c r="E13" s="3" t="s">
        <v>33</v>
      </c>
      <c r="F13" s="6">
        <v>56</v>
      </c>
      <c r="G13" s="6">
        <v>3000</v>
      </c>
      <c r="H13" s="6">
        <v>56</v>
      </c>
      <c r="I13" s="6">
        <v>100</v>
      </c>
      <c r="J13" s="6">
        <v>52</v>
      </c>
      <c r="K13" s="6">
        <v>66</v>
      </c>
      <c r="L13" s="6">
        <v>85</v>
      </c>
      <c r="M13" s="6">
        <v>68</v>
      </c>
      <c r="N13" s="6">
        <v>86</v>
      </c>
      <c r="O13" s="3" t="s">
        <v>22</v>
      </c>
      <c r="P13" s="3">
        <v>7</v>
      </c>
      <c r="Q13" s="3" t="s">
        <v>23</v>
      </c>
      <c r="R13" s="3" t="s">
        <v>126</v>
      </c>
      <c r="S13" s="2" t="s">
        <v>31</v>
      </c>
    </row>
    <row r="14" spans="1:19" ht="42.75">
      <c r="A14" s="4">
        <v>46156</v>
      </c>
      <c r="B14" s="3" t="s">
        <v>127</v>
      </c>
      <c r="C14" s="3" t="s">
        <v>25</v>
      </c>
      <c r="D14" s="3">
        <v>15</v>
      </c>
      <c r="E14" s="3" t="s">
        <v>33</v>
      </c>
      <c r="F14" s="6">
        <v>85</v>
      </c>
      <c r="G14" s="6">
        <v>9000</v>
      </c>
      <c r="H14" s="6">
        <v>75</v>
      </c>
      <c r="I14" s="6">
        <v>75</v>
      </c>
      <c r="J14" s="6">
        <v>74</v>
      </c>
      <c r="K14" s="6">
        <v>100</v>
      </c>
      <c r="L14" s="6">
        <v>78</v>
      </c>
      <c r="M14" s="6">
        <v>90</v>
      </c>
      <c r="N14" s="6">
        <v>84</v>
      </c>
      <c r="O14" s="3" t="s">
        <v>22</v>
      </c>
      <c r="P14" s="3">
        <v>7</v>
      </c>
      <c r="Q14" s="3" t="s">
        <v>23</v>
      </c>
      <c r="R14" s="3" t="s">
        <v>128</v>
      </c>
      <c r="S14" s="2" t="s">
        <v>129</v>
      </c>
    </row>
    <row r="15" spans="1:19" ht="28.5">
      <c r="A15" s="4">
        <v>46156</v>
      </c>
      <c r="B15" s="3" t="s">
        <v>104</v>
      </c>
      <c r="C15" s="3" t="s">
        <v>20</v>
      </c>
      <c r="D15" s="3">
        <v>16</v>
      </c>
      <c r="E15" s="3" t="s">
        <v>33</v>
      </c>
      <c r="F15" s="6">
        <v>118</v>
      </c>
      <c r="G15" s="6">
        <v>25000</v>
      </c>
      <c r="H15" s="6">
        <v>100</v>
      </c>
      <c r="I15" s="6">
        <v>78</v>
      </c>
      <c r="J15" s="6">
        <v>89</v>
      </c>
      <c r="K15" s="6">
        <v>90</v>
      </c>
      <c r="L15" s="6">
        <v>61</v>
      </c>
      <c r="M15" s="6">
        <v>76</v>
      </c>
      <c r="N15" s="6">
        <v>85</v>
      </c>
      <c r="O15" s="3" t="s">
        <v>22</v>
      </c>
      <c r="P15" s="3">
        <v>7</v>
      </c>
      <c r="Q15" s="3" t="s">
        <v>23</v>
      </c>
      <c r="R15" s="3" t="s">
        <v>112</v>
      </c>
      <c r="S15" s="3" t="s">
        <v>110</v>
      </c>
    </row>
    <row r="16" spans="1:19" ht="42.75">
      <c r="A16" s="4">
        <v>46156</v>
      </c>
      <c r="B16" s="3" t="s">
        <v>102</v>
      </c>
      <c r="C16" s="3" t="s">
        <v>30</v>
      </c>
      <c r="D16" s="3">
        <v>17</v>
      </c>
      <c r="E16" s="3" t="s">
        <v>33</v>
      </c>
      <c r="F16" s="6">
        <v>64</v>
      </c>
      <c r="G16" s="6">
        <v>5000</v>
      </c>
      <c r="H16" s="6">
        <v>86</v>
      </c>
      <c r="I16" s="6">
        <v>89</v>
      </c>
      <c r="J16" s="6">
        <v>96</v>
      </c>
      <c r="K16" s="6">
        <v>90</v>
      </c>
      <c r="L16" s="6">
        <v>100</v>
      </c>
      <c r="M16" s="6">
        <v>92</v>
      </c>
      <c r="N16" s="6">
        <v>86</v>
      </c>
      <c r="O16" s="3" t="s">
        <v>22</v>
      </c>
      <c r="P16" s="3">
        <v>7</v>
      </c>
      <c r="Q16" s="3" t="s">
        <v>23</v>
      </c>
      <c r="R16" s="3" t="s">
        <v>109</v>
      </c>
      <c r="S16" s="2" t="s">
        <v>31</v>
      </c>
    </row>
    <row r="17" spans="1:19" ht="42.75">
      <c r="A17" s="4">
        <v>46156</v>
      </c>
      <c r="B17" s="3" t="s">
        <v>153</v>
      </c>
      <c r="C17" s="3" t="s">
        <v>25</v>
      </c>
      <c r="D17" s="3">
        <v>21</v>
      </c>
      <c r="E17" s="3" t="s">
        <v>33</v>
      </c>
      <c r="F17" s="6">
        <v>73</v>
      </c>
      <c r="G17" s="6">
        <v>8000</v>
      </c>
      <c r="H17" s="6">
        <v>88</v>
      </c>
      <c r="I17" s="6">
        <v>98</v>
      </c>
      <c r="J17" s="6">
        <v>100</v>
      </c>
      <c r="K17" s="6">
        <v>95</v>
      </c>
      <c r="L17" s="6">
        <v>86</v>
      </c>
      <c r="M17" s="6">
        <v>77</v>
      </c>
      <c r="N17" s="6">
        <v>84</v>
      </c>
      <c r="O17" s="3" t="s">
        <v>22</v>
      </c>
      <c r="P17" s="3">
        <v>7</v>
      </c>
      <c r="Q17" s="3" t="s">
        <v>23</v>
      </c>
      <c r="R17" s="3" t="s">
        <v>154</v>
      </c>
      <c r="S17" s="2" t="s">
        <v>155</v>
      </c>
    </row>
    <row r="18" spans="1:19" ht="42.75">
      <c r="A18" s="4">
        <v>46156</v>
      </c>
      <c r="B18" s="3" t="s">
        <v>144</v>
      </c>
      <c r="C18" s="3" t="s">
        <v>25</v>
      </c>
      <c r="D18" s="3">
        <v>24</v>
      </c>
      <c r="E18" s="3" t="s">
        <v>33</v>
      </c>
      <c r="F18" s="6">
        <v>23</v>
      </c>
      <c r="G18" s="6">
        <v>580</v>
      </c>
      <c r="H18" s="6">
        <v>37</v>
      </c>
      <c r="I18" s="6">
        <v>59</v>
      </c>
      <c r="J18" s="6">
        <v>80</v>
      </c>
      <c r="K18" s="6">
        <v>100</v>
      </c>
      <c r="L18" s="6">
        <v>61</v>
      </c>
      <c r="M18" s="6">
        <v>35</v>
      </c>
      <c r="N18" s="6">
        <v>64</v>
      </c>
      <c r="O18" s="3" t="s">
        <v>22</v>
      </c>
      <c r="P18" s="3">
        <v>7</v>
      </c>
      <c r="Q18" s="3" t="s">
        <v>23</v>
      </c>
      <c r="R18" s="3" t="s">
        <v>145</v>
      </c>
      <c r="S18" s="2" t="s">
        <v>146</v>
      </c>
    </row>
    <row r="19" spans="1:19" ht="42.75">
      <c r="A19" s="4">
        <v>46156</v>
      </c>
      <c r="B19" s="3" t="s">
        <v>157</v>
      </c>
      <c r="C19" s="3" t="s">
        <v>20</v>
      </c>
      <c r="D19" s="3">
        <v>25</v>
      </c>
      <c r="E19" s="3" t="s">
        <v>33</v>
      </c>
      <c r="F19" s="6">
        <v>48</v>
      </c>
      <c r="G19" s="6">
        <v>8000</v>
      </c>
      <c r="H19" s="6">
        <v>59</v>
      </c>
      <c r="I19" s="6">
        <v>56</v>
      </c>
      <c r="J19" s="6">
        <v>95</v>
      </c>
      <c r="K19" s="6">
        <v>77</v>
      </c>
      <c r="L19" s="6">
        <v>70</v>
      </c>
      <c r="M19" s="6">
        <v>77</v>
      </c>
      <c r="N19" s="6">
        <v>100</v>
      </c>
      <c r="O19" s="3" t="s">
        <v>22</v>
      </c>
      <c r="P19" s="3">
        <v>7</v>
      </c>
      <c r="Q19" s="3" t="s">
        <v>23</v>
      </c>
      <c r="R19" s="3" t="s">
        <v>158</v>
      </c>
      <c r="S19" s="3" t="s">
        <v>159</v>
      </c>
    </row>
    <row r="20" spans="1:19" ht="57">
      <c r="A20" s="4">
        <v>46156</v>
      </c>
      <c r="B20" s="3" t="s">
        <v>176</v>
      </c>
      <c r="C20" s="3" t="s">
        <v>25</v>
      </c>
      <c r="D20" s="3">
        <v>26</v>
      </c>
      <c r="E20" s="3" t="s">
        <v>21</v>
      </c>
      <c r="F20" s="6">
        <v>101</v>
      </c>
      <c r="G20" s="6">
        <v>3000</v>
      </c>
      <c r="H20" s="6">
        <v>100</v>
      </c>
      <c r="I20" s="6">
        <v>79</v>
      </c>
      <c r="J20" s="6">
        <v>61</v>
      </c>
      <c r="K20" s="6">
        <v>70</v>
      </c>
      <c r="L20" s="6">
        <v>68</v>
      </c>
      <c r="M20" s="6">
        <v>42</v>
      </c>
      <c r="N20" s="6">
        <v>69</v>
      </c>
      <c r="O20" s="3" t="s">
        <v>22</v>
      </c>
      <c r="P20" s="3">
        <v>7</v>
      </c>
      <c r="Q20" s="3" t="s">
        <v>23</v>
      </c>
      <c r="R20" s="3" t="s">
        <v>177</v>
      </c>
      <c r="S20" s="2" t="s">
        <v>178</v>
      </c>
    </row>
    <row r="21" spans="1:19" ht="42.75">
      <c r="A21" s="4">
        <v>46156</v>
      </c>
      <c r="B21" s="3" t="s">
        <v>132</v>
      </c>
      <c r="C21" s="3" t="s">
        <v>25</v>
      </c>
      <c r="D21" s="3">
        <v>27</v>
      </c>
      <c r="E21" s="3" t="s">
        <v>33</v>
      </c>
      <c r="F21" s="6">
        <v>28</v>
      </c>
      <c r="G21" s="6">
        <v>745</v>
      </c>
      <c r="H21" s="6">
        <v>47</v>
      </c>
      <c r="I21" s="6">
        <v>81</v>
      </c>
      <c r="J21" s="6">
        <v>79</v>
      </c>
      <c r="K21" s="6">
        <v>61</v>
      </c>
      <c r="L21" s="6">
        <v>89</v>
      </c>
      <c r="M21" s="6">
        <v>100</v>
      </c>
      <c r="N21" s="6">
        <v>100</v>
      </c>
      <c r="O21" s="3" t="s">
        <v>22</v>
      </c>
      <c r="P21" s="3">
        <v>7</v>
      </c>
      <c r="Q21" s="3" t="s">
        <v>23</v>
      </c>
      <c r="R21" s="3" t="s">
        <v>133</v>
      </c>
      <c r="S21" s="2" t="s">
        <v>134</v>
      </c>
    </row>
    <row r="22" spans="1:19" ht="15.75" customHeight="1">
      <c r="A22" s="4">
        <v>46156</v>
      </c>
      <c r="B22" s="3" t="s">
        <v>138</v>
      </c>
      <c r="C22" s="3" t="s">
        <v>96</v>
      </c>
      <c r="D22" s="3">
        <v>28</v>
      </c>
      <c r="E22" s="3" t="s">
        <v>33</v>
      </c>
      <c r="F22" s="6">
        <v>9</v>
      </c>
      <c r="G22" s="6">
        <v>3000</v>
      </c>
      <c r="H22" s="6">
        <v>72</v>
      </c>
      <c r="I22" s="6">
        <v>65</v>
      </c>
      <c r="J22" s="6">
        <v>68</v>
      </c>
      <c r="K22" s="6">
        <v>67</v>
      </c>
      <c r="L22" s="6">
        <v>70</v>
      </c>
      <c r="M22" s="6">
        <v>94</v>
      </c>
      <c r="N22" s="6">
        <v>100</v>
      </c>
      <c r="O22" s="3" t="s">
        <v>22</v>
      </c>
      <c r="P22" s="3">
        <v>7</v>
      </c>
      <c r="Q22" s="3" t="s">
        <v>23</v>
      </c>
      <c r="R22" s="3" t="s">
        <v>139</v>
      </c>
      <c r="S22" s="3" t="s">
        <v>140</v>
      </c>
    </row>
    <row r="23" spans="1:19" ht="57">
      <c r="A23" s="4">
        <v>46156</v>
      </c>
      <c r="B23" s="3" t="s">
        <v>147</v>
      </c>
      <c r="C23" s="3" t="s">
        <v>25</v>
      </c>
      <c r="D23" s="3">
        <v>29</v>
      </c>
      <c r="E23" s="3" t="s">
        <v>33</v>
      </c>
      <c r="F23" s="6">
        <v>15</v>
      </c>
      <c r="G23" s="6">
        <v>275</v>
      </c>
      <c r="H23" s="6">
        <v>79</v>
      </c>
      <c r="I23" s="6">
        <v>71</v>
      </c>
      <c r="J23" s="6">
        <v>100</v>
      </c>
      <c r="K23" s="6">
        <v>95</v>
      </c>
      <c r="L23" s="6">
        <v>65</v>
      </c>
      <c r="M23" s="6">
        <v>62</v>
      </c>
      <c r="N23" s="6">
        <v>61</v>
      </c>
      <c r="O23" s="3" t="s">
        <v>22</v>
      </c>
      <c r="P23" s="3">
        <v>7</v>
      </c>
      <c r="Q23" s="3" t="s">
        <v>23</v>
      </c>
      <c r="R23" s="3" t="s">
        <v>148</v>
      </c>
      <c r="S23" s="2" t="s">
        <v>149</v>
      </c>
    </row>
    <row r="24" spans="1:19" ht="42.75">
      <c r="A24" s="4">
        <v>46156</v>
      </c>
      <c r="B24" s="3" t="s">
        <v>95</v>
      </c>
      <c r="C24" s="3" t="s">
        <v>96</v>
      </c>
      <c r="D24" s="3">
        <v>31</v>
      </c>
      <c r="E24" s="3" t="s">
        <v>33</v>
      </c>
      <c r="F24" s="6">
        <v>13</v>
      </c>
      <c r="G24" s="6">
        <v>13000</v>
      </c>
      <c r="H24" s="6">
        <v>100</v>
      </c>
      <c r="I24" s="6">
        <v>52</v>
      </c>
      <c r="J24" s="6">
        <v>48</v>
      </c>
      <c r="K24" s="6">
        <v>48</v>
      </c>
      <c r="L24" s="6">
        <v>47</v>
      </c>
      <c r="M24" s="6">
        <v>84</v>
      </c>
      <c r="N24" s="6">
        <v>88</v>
      </c>
      <c r="O24" s="3" t="s">
        <v>22</v>
      </c>
      <c r="P24" s="3">
        <v>7</v>
      </c>
      <c r="Q24" s="3" t="s">
        <v>23</v>
      </c>
      <c r="R24" s="3" t="s">
        <v>97</v>
      </c>
      <c r="S24" s="2" t="s">
        <v>98</v>
      </c>
    </row>
    <row r="25" spans="1:19" ht="42.75">
      <c r="A25" s="4">
        <v>46156</v>
      </c>
      <c r="B25" s="3" t="s">
        <v>105</v>
      </c>
      <c r="C25" s="3" t="s">
        <v>25</v>
      </c>
      <c r="D25" s="3">
        <v>32</v>
      </c>
      <c r="E25" s="3" t="s">
        <v>33</v>
      </c>
      <c r="F25" s="6">
        <v>75</v>
      </c>
      <c r="G25" s="6">
        <v>2000</v>
      </c>
      <c r="H25" s="6">
        <v>79</v>
      </c>
      <c r="I25" s="6">
        <v>96</v>
      </c>
      <c r="J25" s="6">
        <v>83</v>
      </c>
      <c r="K25" s="6">
        <v>100</v>
      </c>
      <c r="L25" s="6">
        <v>78</v>
      </c>
      <c r="M25" s="6">
        <v>84</v>
      </c>
      <c r="N25" s="6">
        <v>74</v>
      </c>
      <c r="O25" s="3" t="s">
        <v>22</v>
      </c>
      <c r="P25" s="3">
        <v>7</v>
      </c>
      <c r="Q25" s="3" t="s">
        <v>23</v>
      </c>
      <c r="R25" s="3" t="s">
        <v>26</v>
      </c>
      <c r="S25" s="2" t="s">
        <v>27</v>
      </c>
    </row>
    <row r="26" spans="1:19" ht="42.75">
      <c r="A26" s="4">
        <v>46156</v>
      </c>
      <c r="B26" s="3" t="s">
        <v>179</v>
      </c>
      <c r="C26" s="3" t="s">
        <v>25</v>
      </c>
      <c r="D26" s="3">
        <v>34</v>
      </c>
      <c r="E26" s="3" t="s">
        <v>21</v>
      </c>
      <c r="F26" s="6">
        <v>31</v>
      </c>
      <c r="G26" s="6">
        <v>3000</v>
      </c>
      <c r="H26" s="6">
        <v>90</v>
      </c>
      <c r="I26" s="6">
        <v>80</v>
      </c>
      <c r="J26" s="6">
        <v>100</v>
      </c>
      <c r="K26" s="6">
        <v>70</v>
      </c>
      <c r="L26" s="6">
        <v>69</v>
      </c>
      <c r="M26" s="6">
        <v>81</v>
      </c>
      <c r="N26" s="6">
        <v>56</v>
      </c>
      <c r="O26" s="3" t="s">
        <v>22</v>
      </c>
      <c r="P26" s="3">
        <v>7</v>
      </c>
      <c r="Q26" s="3" t="s">
        <v>23</v>
      </c>
      <c r="R26" s="3" t="s">
        <v>180</v>
      </c>
      <c r="S26" s="2" t="s">
        <v>186</v>
      </c>
    </row>
    <row r="27" spans="1:19" ht="28.5">
      <c r="A27" s="4">
        <v>46156</v>
      </c>
      <c r="B27" s="3" t="s">
        <v>181</v>
      </c>
      <c r="C27" s="3" t="s">
        <v>25</v>
      </c>
      <c r="D27" s="3">
        <v>36</v>
      </c>
      <c r="E27" s="3" t="s">
        <v>21</v>
      </c>
      <c r="F27" s="6">
        <v>49</v>
      </c>
      <c r="G27" s="6">
        <v>3000000</v>
      </c>
      <c r="H27" s="6">
        <v>88</v>
      </c>
      <c r="I27" s="6">
        <v>63</v>
      </c>
      <c r="J27" s="6">
        <v>100</v>
      </c>
      <c r="K27" s="6">
        <v>89</v>
      </c>
      <c r="L27" s="6">
        <v>85</v>
      </c>
      <c r="M27" s="6">
        <v>88</v>
      </c>
      <c r="N27" s="6">
        <v>77</v>
      </c>
      <c r="O27" s="3" t="s">
        <v>22</v>
      </c>
      <c r="P27" s="3">
        <v>7</v>
      </c>
      <c r="Q27" s="3" t="s">
        <v>23</v>
      </c>
      <c r="R27" s="3" t="s">
        <v>182</v>
      </c>
      <c r="S27" s="2" t="s">
        <v>187</v>
      </c>
    </row>
    <row r="28" spans="1:19" ht="57">
      <c r="A28" s="4">
        <v>46156</v>
      </c>
      <c r="B28" s="3" t="s">
        <v>184</v>
      </c>
      <c r="C28" s="3" t="s">
        <v>25</v>
      </c>
      <c r="D28" s="3">
        <v>37</v>
      </c>
      <c r="E28" s="3" t="s">
        <v>21</v>
      </c>
      <c r="F28" s="6">
        <v>8</v>
      </c>
      <c r="G28" s="6">
        <v>160</v>
      </c>
      <c r="H28" s="6">
        <v>48</v>
      </c>
      <c r="I28" s="6">
        <v>83</v>
      </c>
      <c r="J28" s="6">
        <v>49</v>
      </c>
      <c r="K28" s="6">
        <v>53</v>
      </c>
      <c r="L28" s="6">
        <v>53</v>
      </c>
      <c r="M28" s="6">
        <v>100</v>
      </c>
      <c r="N28" s="6">
        <v>61</v>
      </c>
      <c r="O28" s="3" t="s">
        <v>22</v>
      </c>
      <c r="P28" s="3">
        <v>7</v>
      </c>
      <c r="Q28" s="3" t="s">
        <v>23</v>
      </c>
      <c r="R28" s="3" t="s">
        <v>185</v>
      </c>
      <c r="S28" s="2" t="s">
        <v>183</v>
      </c>
    </row>
    <row r="29" spans="1:19" ht="42.75">
      <c r="A29" s="4">
        <v>46156</v>
      </c>
      <c r="B29" s="3" t="s">
        <v>130</v>
      </c>
      <c r="C29" s="3" t="s">
        <v>30</v>
      </c>
      <c r="D29" s="3">
        <v>38</v>
      </c>
      <c r="E29" s="3" t="s">
        <v>33</v>
      </c>
      <c r="F29" s="6">
        <v>39</v>
      </c>
      <c r="G29" s="6">
        <v>3000</v>
      </c>
      <c r="H29" s="6">
        <v>69</v>
      </c>
      <c r="I29" s="6">
        <v>64</v>
      </c>
      <c r="J29" s="6">
        <v>94</v>
      </c>
      <c r="K29" s="6">
        <v>100</v>
      </c>
      <c r="L29" s="6">
        <v>62</v>
      </c>
      <c r="M29" s="6">
        <v>88</v>
      </c>
      <c r="N29" s="6">
        <v>91</v>
      </c>
      <c r="O29" s="3" t="s">
        <v>22</v>
      </c>
      <c r="P29" s="3">
        <v>7</v>
      </c>
      <c r="Q29" s="3" t="s">
        <v>23</v>
      </c>
      <c r="R29" s="3" t="s">
        <v>131</v>
      </c>
      <c r="S29" s="2" t="s">
        <v>31</v>
      </c>
    </row>
    <row r="30" spans="1:19" ht="42.75">
      <c r="A30" s="4">
        <v>46156</v>
      </c>
      <c r="B30" s="3" t="s">
        <v>188</v>
      </c>
      <c r="C30" s="3" t="s">
        <v>30</v>
      </c>
      <c r="D30" s="3">
        <v>39</v>
      </c>
      <c r="E30" s="3" t="s">
        <v>21</v>
      </c>
      <c r="F30" s="6">
        <v>26</v>
      </c>
      <c r="G30" s="6">
        <v>1000</v>
      </c>
      <c r="H30" s="6">
        <v>56</v>
      </c>
      <c r="I30" s="6">
        <v>81</v>
      </c>
      <c r="J30" s="6">
        <v>100</v>
      </c>
      <c r="K30" s="6">
        <v>68</v>
      </c>
      <c r="L30" s="6">
        <v>78</v>
      </c>
      <c r="M30" s="6">
        <v>93</v>
      </c>
      <c r="N30" s="6">
        <v>74</v>
      </c>
      <c r="O30" s="3" t="s">
        <v>22</v>
      </c>
      <c r="P30" s="3">
        <v>7</v>
      </c>
      <c r="Q30" s="3" t="s">
        <v>23</v>
      </c>
      <c r="R30" s="3" t="s">
        <v>189</v>
      </c>
      <c r="S30" s="2" t="s">
        <v>31</v>
      </c>
    </row>
    <row r="31" spans="1:19" ht="42.75">
      <c r="A31" s="4">
        <v>46156</v>
      </c>
      <c r="B31" s="3" t="s">
        <v>103</v>
      </c>
      <c r="C31" s="3" t="s">
        <v>30</v>
      </c>
      <c r="D31" s="3">
        <v>40</v>
      </c>
      <c r="E31" s="3" t="s">
        <v>33</v>
      </c>
      <c r="F31" s="6">
        <v>64</v>
      </c>
      <c r="G31" s="6">
        <v>4000</v>
      </c>
      <c r="H31" s="6">
        <v>87</v>
      </c>
      <c r="I31" s="6">
        <v>100</v>
      </c>
      <c r="J31" s="6">
        <v>88</v>
      </c>
      <c r="K31" s="6">
        <v>79</v>
      </c>
      <c r="L31" s="6">
        <v>76</v>
      </c>
      <c r="M31" s="6">
        <v>70</v>
      </c>
      <c r="N31" s="6">
        <v>87</v>
      </c>
      <c r="O31" s="3" t="s">
        <v>22</v>
      </c>
      <c r="P31" s="3">
        <v>7</v>
      </c>
      <c r="Q31" s="3" t="s">
        <v>23</v>
      </c>
      <c r="R31" s="3" t="s">
        <v>111</v>
      </c>
      <c r="S31" s="2" t="s">
        <v>31</v>
      </c>
    </row>
    <row r="32" spans="1:19" ht="28.5">
      <c r="A32" s="4">
        <v>46156</v>
      </c>
      <c r="B32" s="3" t="s">
        <v>99</v>
      </c>
      <c r="C32" s="3" t="s">
        <v>20</v>
      </c>
      <c r="D32" s="3">
        <v>42</v>
      </c>
      <c r="E32" s="3" t="s">
        <v>33</v>
      </c>
      <c r="F32" s="6">
        <v>53</v>
      </c>
      <c r="G32" s="6">
        <v>4000000</v>
      </c>
      <c r="H32" s="6">
        <v>77</v>
      </c>
      <c r="I32" s="6">
        <v>73</v>
      </c>
      <c r="J32" s="6">
        <v>65</v>
      </c>
      <c r="K32" s="6">
        <v>100</v>
      </c>
      <c r="L32" s="6">
        <v>88</v>
      </c>
      <c r="M32" s="6">
        <v>98</v>
      </c>
      <c r="N32" s="6">
        <v>76</v>
      </c>
      <c r="O32" s="3" t="s">
        <v>22</v>
      </c>
      <c r="P32" s="3">
        <v>7</v>
      </c>
      <c r="Q32" s="3" t="s">
        <v>23</v>
      </c>
      <c r="R32" s="3" t="s">
        <v>100</v>
      </c>
      <c r="S32" s="2" t="s">
        <v>101</v>
      </c>
    </row>
    <row r="33" spans="1:19" ht="42.75">
      <c r="A33" s="4">
        <v>46156</v>
      </c>
      <c r="B33" s="3" t="s">
        <v>190</v>
      </c>
      <c r="C33" s="3" t="s">
        <v>25</v>
      </c>
      <c r="D33" s="3">
        <v>47</v>
      </c>
      <c r="E33" s="3" t="s">
        <v>21</v>
      </c>
      <c r="F33" s="6">
        <v>17</v>
      </c>
      <c r="G33" s="6">
        <v>334</v>
      </c>
      <c r="H33" s="6">
        <v>32</v>
      </c>
      <c r="I33" s="6">
        <v>28</v>
      </c>
      <c r="J33" s="6">
        <v>33</v>
      </c>
      <c r="K33" s="6">
        <v>31</v>
      </c>
      <c r="L33" s="6">
        <v>33</v>
      </c>
      <c r="M33" s="6">
        <v>100</v>
      </c>
      <c r="N33" s="6">
        <v>85</v>
      </c>
      <c r="O33" s="3" t="s">
        <v>22</v>
      </c>
      <c r="P33" s="3">
        <v>7</v>
      </c>
      <c r="Q33" s="3" t="s">
        <v>23</v>
      </c>
      <c r="R33" s="3" t="s">
        <v>191</v>
      </c>
      <c r="S33" s="2" t="s">
        <v>192</v>
      </c>
    </row>
    <row r="34" spans="1:19" ht="42.75">
      <c r="A34" s="4">
        <v>46156</v>
      </c>
      <c r="B34" s="3" t="s">
        <v>193</v>
      </c>
      <c r="C34" s="3" t="s">
        <v>120</v>
      </c>
      <c r="D34" s="3">
        <v>48</v>
      </c>
      <c r="E34" s="3" t="s">
        <v>21</v>
      </c>
      <c r="F34" s="6">
        <v>33</v>
      </c>
      <c r="G34" s="6">
        <v>4000</v>
      </c>
      <c r="H34" s="6">
        <v>100</v>
      </c>
      <c r="I34" s="6">
        <v>80</v>
      </c>
      <c r="J34" s="6">
        <v>91</v>
      </c>
      <c r="K34" s="6">
        <v>84</v>
      </c>
      <c r="L34" s="6">
        <v>49</v>
      </c>
      <c r="M34" s="6">
        <v>93</v>
      </c>
      <c r="N34" s="6">
        <v>83</v>
      </c>
      <c r="O34" s="3" t="s">
        <v>22</v>
      </c>
      <c r="P34" s="3">
        <v>7</v>
      </c>
      <c r="Q34" s="3" t="s">
        <v>23</v>
      </c>
      <c r="R34" s="3" t="s">
        <v>194</v>
      </c>
      <c r="S34" s="2" t="s">
        <v>195</v>
      </c>
    </row>
    <row r="35" spans="1:19" ht="42.75">
      <c r="A35" s="4">
        <v>46156</v>
      </c>
      <c r="B35" s="3" t="s">
        <v>108</v>
      </c>
      <c r="C35" s="3" t="s">
        <v>25</v>
      </c>
      <c r="D35" s="3">
        <v>57</v>
      </c>
      <c r="E35" s="3" t="s">
        <v>33</v>
      </c>
      <c r="F35" s="6">
        <v>126</v>
      </c>
      <c r="G35" s="6">
        <v>2000</v>
      </c>
      <c r="H35" s="6">
        <v>100</v>
      </c>
      <c r="I35" s="6">
        <v>99</v>
      </c>
      <c r="J35" s="6">
        <v>88</v>
      </c>
      <c r="K35" s="6">
        <v>91</v>
      </c>
      <c r="L35" s="6">
        <v>96</v>
      </c>
      <c r="M35" s="6">
        <v>67</v>
      </c>
      <c r="N35" s="6">
        <v>85</v>
      </c>
      <c r="O35" s="3" t="s">
        <v>22</v>
      </c>
      <c r="P35" s="3">
        <v>7</v>
      </c>
      <c r="Q35" s="3" t="s">
        <v>23</v>
      </c>
      <c r="R35" s="3" t="s">
        <v>116</v>
      </c>
      <c r="S35" s="2" t="s">
        <v>117</v>
      </c>
    </row>
    <row r="36" spans="1:19" ht="42.75">
      <c r="A36" s="4">
        <v>46156</v>
      </c>
      <c r="B36" s="3" t="s">
        <v>196</v>
      </c>
      <c r="C36" s="3" t="s">
        <v>25</v>
      </c>
      <c r="D36" s="3">
        <v>72</v>
      </c>
      <c r="E36" s="3" t="s">
        <v>21</v>
      </c>
      <c r="F36" s="6">
        <v>15</v>
      </c>
      <c r="G36" s="6">
        <v>511</v>
      </c>
      <c r="H36" s="6">
        <v>47</v>
      </c>
      <c r="I36" s="6">
        <v>43</v>
      </c>
      <c r="J36" s="6">
        <v>100</v>
      </c>
      <c r="K36" s="6">
        <v>64</v>
      </c>
      <c r="L36" s="6">
        <v>42</v>
      </c>
      <c r="M36" s="6">
        <v>60</v>
      </c>
      <c r="N36" s="6">
        <v>75</v>
      </c>
      <c r="O36" s="3" t="s">
        <v>22</v>
      </c>
      <c r="P36" s="3">
        <v>7</v>
      </c>
      <c r="Q36" s="3" t="s">
        <v>23</v>
      </c>
      <c r="R36" s="3" t="s">
        <v>197</v>
      </c>
      <c r="S36" s="2" t="s">
        <v>115</v>
      </c>
    </row>
    <row r="37" spans="1:19" ht="57">
      <c r="A37" s="4">
        <v>46156</v>
      </c>
      <c r="B37" s="3" t="s">
        <v>198</v>
      </c>
      <c r="C37" s="3" t="s">
        <v>25</v>
      </c>
      <c r="D37" s="3">
        <v>77</v>
      </c>
      <c r="E37" s="3" t="s">
        <v>21</v>
      </c>
      <c r="F37" s="6">
        <v>7</v>
      </c>
      <c r="G37" s="6">
        <v>103</v>
      </c>
      <c r="H37" s="6">
        <v>37</v>
      </c>
      <c r="I37" s="6">
        <v>36</v>
      </c>
      <c r="J37" s="6">
        <v>62</v>
      </c>
      <c r="K37" s="6">
        <v>100</v>
      </c>
      <c r="L37" s="6">
        <v>62</v>
      </c>
      <c r="M37" s="6">
        <v>97</v>
      </c>
      <c r="N37" s="6">
        <v>63</v>
      </c>
      <c r="O37" s="3" t="s">
        <v>22</v>
      </c>
      <c r="P37" s="3">
        <v>7</v>
      </c>
      <c r="Q37" s="3" t="s">
        <v>23</v>
      </c>
      <c r="R37" s="3" t="s">
        <v>199</v>
      </c>
      <c r="S37" s="2" t="s">
        <v>200</v>
      </c>
    </row>
    <row r="38" spans="1:19" ht="42.75">
      <c r="A38" s="4">
        <v>46156</v>
      </c>
      <c r="B38" s="3" t="s">
        <v>107</v>
      </c>
      <c r="C38" s="3" t="s">
        <v>25</v>
      </c>
      <c r="D38" s="3">
        <v>80</v>
      </c>
      <c r="E38" s="3" t="s">
        <v>33</v>
      </c>
      <c r="F38" s="6">
        <v>37</v>
      </c>
      <c r="G38" s="6">
        <v>2000</v>
      </c>
      <c r="H38" s="6">
        <v>95</v>
      </c>
      <c r="I38" s="6">
        <v>100</v>
      </c>
      <c r="J38" s="6">
        <v>77</v>
      </c>
      <c r="K38" s="6">
        <v>85</v>
      </c>
      <c r="L38" s="6">
        <v>65</v>
      </c>
      <c r="M38" s="6">
        <v>85</v>
      </c>
      <c r="N38" s="6">
        <v>35</v>
      </c>
      <c r="O38" s="3" t="s">
        <v>22</v>
      </c>
      <c r="P38" s="3">
        <v>7</v>
      </c>
      <c r="Q38" s="3" t="s">
        <v>23</v>
      </c>
      <c r="R38" s="3" t="s">
        <v>114</v>
      </c>
      <c r="S38" s="2" t="s">
        <v>115</v>
      </c>
    </row>
    <row r="39" spans="1:19" ht="42.75">
      <c r="A39" s="4">
        <v>46156</v>
      </c>
      <c r="B39" s="3" t="s">
        <v>201</v>
      </c>
      <c r="C39" s="3" t="s">
        <v>25</v>
      </c>
      <c r="D39" s="3">
        <v>81</v>
      </c>
      <c r="E39" s="3" t="s">
        <v>21</v>
      </c>
      <c r="F39" s="6">
        <v>0</v>
      </c>
      <c r="G39" s="6">
        <v>362</v>
      </c>
      <c r="H39" s="6">
        <v>96</v>
      </c>
      <c r="I39" s="6">
        <v>95</v>
      </c>
      <c r="J39" s="6">
        <v>100</v>
      </c>
      <c r="K39" s="6">
        <v>98</v>
      </c>
      <c r="L39" s="6">
        <v>84</v>
      </c>
      <c r="M39" s="6">
        <v>81</v>
      </c>
      <c r="N39" s="6">
        <v>81</v>
      </c>
      <c r="O39" s="3" t="s">
        <v>22</v>
      </c>
      <c r="P39" s="3">
        <v>7</v>
      </c>
      <c r="Q39" s="3" t="s">
        <v>23</v>
      </c>
      <c r="R39" s="3" t="s">
        <v>202</v>
      </c>
      <c r="S39" s="2" t="s">
        <v>203</v>
      </c>
    </row>
    <row r="40" spans="1:19" ht="57">
      <c r="A40" s="4">
        <v>46156</v>
      </c>
      <c r="B40" s="3" t="s">
        <v>204</v>
      </c>
      <c r="C40" s="3" t="s">
        <v>25</v>
      </c>
      <c r="D40" s="3">
        <v>82</v>
      </c>
      <c r="E40" s="3" t="s">
        <v>21</v>
      </c>
      <c r="F40" s="6">
        <v>18</v>
      </c>
      <c r="G40" s="6">
        <v>1000</v>
      </c>
      <c r="H40" s="6">
        <v>50</v>
      </c>
      <c r="I40" s="6">
        <v>46</v>
      </c>
      <c r="J40" s="6">
        <v>86</v>
      </c>
      <c r="K40" s="6">
        <v>45</v>
      </c>
      <c r="L40" s="6">
        <v>100</v>
      </c>
      <c r="M40" s="6">
        <v>47</v>
      </c>
      <c r="N40" s="6">
        <v>49</v>
      </c>
      <c r="O40" s="3" t="s">
        <v>22</v>
      </c>
      <c r="P40" s="3">
        <v>7</v>
      </c>
      <c r="Q40" s="3" t="s">
        <v>23</v>
      </c>
      <c r="R40" s="3" t="s">
        <v>205</v>
      </c>
      <c r="S40" s="2" t="s">
        <v>206</v>
      </c>
    </row>
    <row r="41" spans="1:19" ht="42.75">
      <c r="A41" s="4">
        <v>46156</v>
      </c>
      <c r="B41" s="3" t="s">
        <v>207</v>
      </c>
      <c r="C41" s="3" t="s">
        <v>25</v>
      </c>
      <c r="D41" s="3">
        <v>88</v>
      </c>
      <c r="E41" s="3" t="s">
        <v>21</v>
      </c>
      <c r="F41" s="6">
        <v>22</v>
      </c>
      <c r="G41" s="6">
        <v>864</v>
      </c>
      <c r="H41" s="6">
        <v>28</v>
      </c>
      <c r="I41" s="6">
        <v>26</v>
      </c>
      <c r="J41" s="6">
        <v>25</v>
      </c>
      <c r="K41" s="6">
        <v>24</v>
      </c>
      <c r="L41" s="6">
        <v>51</v>
      </c>
      <c r="M41" s="6">
        <v>100</v>
      </c>
      <c r="N41" s="6">
        <v>87</v>
      </c>
      <c r="O41" s="3" t="s">
        <v>22</v>
      </c>
      <c r="P41" s="3">
        <v>7</v>
      </c>
      <c r="Q41" s="3" t="s">
        <v>23</v>
      </c>
      <c r="R41" s="3" t="s">
        <v>208</v>
      </c>
      <c r="S41" s="2" t="s">
        <v>209</v>
      </c>
    </row>
    <row r="42" spans="1:19" ht="35.25" customHeight="1">
      <c r="A42" s="4">
        <v>46156</v>
      </c>
      <c r="B42" s="3" t="s">
        <v>141</v>
      </c>
      <c r="C42" s="3" t="s">
        <v>120</v>
      </c>
      <c r="D42" s="3">
        <v>95</v>
      </c>
      <c r="E42" s="3" t="s">
        <v>33</v>
      </c>
      <c r="F42" s="6">
        <v>12</v>
      </c>
      <c r="G42" s="6">
        <v>581000</v>
      </c>
      <c r="H42" s="6">
        <v>100</v>
      </c>
      <c r="I42" s="6">
        <v>86</v>
      </c>
      <c r="J42" s="6">
        <v>57</v>
      </c>
      <c r="K42" s="6">
        <v>56</v>
      </c>
      <c r="L42" s="6">
        <v>77</v>
      </c>
      <c r="M42" s="6">
        <v>84</v>
      </c>
      <c r="N42" s="6">
        <v>81</v>
      </c>
      <c r="O42" s="3" t="s">
        <v>22</v>
      </c>
      <c r="P42" s="3">
        <v>7</v>
      </c>
      <c r="Q42" s="3" t="s">
        <v>23</v>
      </c>
      <c r="R42" s="3" t="s">
        <v>142</v>
      </c>
      <c r="S42" s="8" t="s">
        <v>143</v>
      </c>
    </row>
    <row r="43" spans="1:19" ht="57">
      <c r="A43" s="4">
        <v>46156</v>
      </c>
      <c r="B43" s="3" t="s">
        <v>167</v>
      </c>
      <c r="C43" s="3" t="s">
        <v>25</v>
      </c>
      <c r="D43" s="3">
        <v>96</v>
      </c>
      <c r="E43" s="3" t="s">
        <v>33</v>
      </c>
      <c r="F43" s="6">
        <v>21</v>
      </c>
      <c r="G43" s="6">
        <v>1000</v>
      </c>
      <c r="H43" s="6">
        <v>39</v>
      </c>
      <c r="I43" s="6">
        <v>35</v>
      </c>
      <c r="J43" s="6">
        <v>100</v>
      </c>
      <c r="K43" s="6">
        <v>49</v>
      </c>
      <c r="L43" s="6">
        <v>33</v>
      </c>
      <c r="M43" s="6">
        <v>57</v>
      </c>
      <c r="N43" s="6">
        <v>87</v>
      </c>
      <c r="O43" s="3" t="s">
        <v>22</v>
      </c>
      <c r="P43" s="3">
        <v>7</v>
      </c>
      <c r="Q43" s="3" t="s">
        <v>23</v>
      </c>
      <c r="R43" s="3" t="s">
        <v>168</v>
      </c>
      <c r="S43" s="2" t="s">
        <v>169</v>
      </c>
    </row>
    <row r="44" spans="1:19" ht="42.75">
      <c r="A44" s="4">
        <v>46156</v>
      </c>
      <c r="B44" s="3" t="s">
        <v>210</v>
      </c>
      <c r="C44" s="3" t="s">
        <v>25</v>
      </c>
      <c r="D44" s="3">
        <v>96</v>
      </c>
      <c r="E44" s="3" t="s">
        <v>21</v>
      </c>
      <c r="F44" s="6">
        <v>14</v>
      </c>
      <c r="G44" s="6">
        <v>838</v>
      </c>
      <c r="H44" s="6">
        <v>53</v>
      </c>
      <c r="I44" s="6">
        <v>47</v>
      </c>
      <c r="J44" s="6">
        <v>77</v>
      </c>
      <c r="K44" s="6">
        <v>100</v>
      </c>
      <c r="L44" s="6">
        <v>50</v>
      </c>
      <c r="M44" s="6">
        <v>50</v>
      </c>
      <c r="N44" s="6">
        <v>78</v>
      </c>
      <c r="O44" s="3" t="s">
        <v>22</v>
      </c>
      <c r="P44" s="3">
        <v>7</v>
      </c>
      <c r="Q44" s="3" t="s">
        <v>23</v>
      </c>
      <c r="R44" s="3" t="s">
        <v>211</v>
      </c>
      <c r="S44" s="2" t="s">
        <v>212</v>
      </c>
    </row>
    <row r="45" spans="1:19" ht="28.5">
      <c r="A45" s="4">
        <v>46156</v>
      </c>
      <c r="B45" s="3" t="s">
        <v>135</v>
      </c>
      <c r="C45" s="3" t="s">
        <v>25</v>
      </c>
      <c r="D45" s="3">
        <v>98</v>
      </c>
      <c r="E45" s="3" t="s">
        <v>33</v>
      </c>
      <c r="F45" s="6">
        <v>18</v>
      </c>
      <c r="G45" s="6">
        <v>122000</v>
      </c>
      <c r="H45" s="6">
        <v>94</v>
      </c>
      <c r="I45" s="6">
        <v>100</v>
      </c>
      <c r="J45" s="6">
        <v>57</v>
      </c>
      <c r="K45" s="6">
        <v>39</v>
      </c>
      <c r="L45" s="6">
        <v>38</v>
      </c>
      <c r="M45" s="6">
        <v>64</v>
      </c>
      <c r="N45" s="6">
        <v>68</v>
      </c>
      <c r="O45" s="3" t="s">
        <v>22</v>
      </c>
      <c r="P45" s="3">
        <v>7</v>
      </c>
      <c r="Q45" s="3" t="s">
        <v>23</v>
      </c>
      <c r="R45" s="3" t="s">
        <v>136</v>
      </c>
      <c r="S45" s="2" t="s">
        <v>137</v>
      </c>
    </row>
    <row r="46" spans="1:19">
      <c r="A46" s="4"/>
      <c r="B46" s="2"/>
      <c r="C46" s="2"/>
      <c r="D46" s="2"/>
      <c r="E46" s="2"/>
      <c r="F46" s="5"/>
      <c r="G46" s="5"/>
      <c r="H46" s="5"/>
      <c r="I46" s="5"/>
      <c r="J46" s="5"/>
      <c r="K46" s="5"/>
      <c r="L46" s="5"/>
      <c r="M46" s="5"/>
      <c r="N46" s="5"/>
      <c r="O46" s="2"/>
      <c r="P46" s="2"/>
      <c r="Q46" s="2"/>
      <c r="R46" s="2"/>
      <c r="S46" s="2"/>
    </row>
    <row r="47" spans="1:19">
      <c r="A47" s="4"/>
      <c r="B47" s="2"/>
      <c r="C47" s="2"/>
      <c r="D47" s="2"/>
      <c r="E47" s="2"/>
      <c r="F47" s="5"/>
      <c r="G47" s="5"/>
      <c r="H47" s="5"/>
      <c r="I47" s="5"/>
      <c r="J47" s="5"/>
      <c r="K47" s="5"/>
      <c r="L47" s="5"/>
      <c r="M47" s="5"/>
      <c r="N47" s="5"/>
      <c r="O47" s="2"/>
      <c r="P47" s="2"/>
      <c r="Q47" s="2"/>
      <c r="R47" s="2"/>
      <c r="S47" s="2"/>
    </row>
    <row r="48" spans="1:19">
      <c r="A48" s="4"/>
      <c r="B48" s="2"/>
      <c r="C48" s="2"/>
      <c r="D48" s="2"/>
      <c r="E48" s="2"/>
      <c r="F48" s="5"/>
      <c r="G48" s="5"/>
      <c r="H48" s="5"/>
      <c r="I48" s="5"/>
      <c r="J48" s="5"/>
      <c r="K48" s="5"/>
      <c r="L48" s="5"/>
      <c r="M48" s="5"/>
      <c r="N48" s="5"/>
      <c r="O48" s="2"/>
      <c r="P48" s="2"/>
      <c r="Q48" s="2"/>
      <c r="R48" s="2"/>
      <c r="S48" s="2"/>
    </row>
    <row r="49" spans="1:19">
      <c r="A49" s="4"/>
      <c r="B49" s="2"/>
      <c r="C49" s="2"/>
      <c r="D49" s="2"/>
      <c r="E49" s="2"/>
      <c r="F49" s="5"/>
      <c r="G49" s="5"/>
      <c r="H49" s="5"/>
      <c r="I49" s="5"/>
      <c r="J49" s="5"/>
      <c r="K49" s="5"/>
      <c r="L49" s="5"/>
      <c r="M49" s="5"/>
      <c r="N49" s="5"/>
      <c r="O49" s="2"/>
      <c r="P49" s="2"/>
      <c r="Q49" s="2"/>
      <c r="R49" s="2"/>
      <c r="S49" s="2"/>
    </row>
    <row r="50" spans="1:19">
      <c r="A50" s="4"/>
      <c r="B50" s="2"/>
      <c r="C50" s="2"/>
      <c r="D50" s="2"/>
      <c r="E50" s="2"/>
      <c r="F50" s="5"/>
      <c r="G50" s="5"/>
      <c r="H50" s="5"/>
      <c r="I50" s="5"/>
      <c r="J50" s="5"/>
      <c r="K50" s="5"/>
      <c r="L50" s="5"/>
      <c r="M50" s="5"/>
      <c r="N50" s="5"/>
      <c r="O50" s="2"/>
      <c r="P50" s="2"/>
      <c r="Q50" s="2"/>
      <c r="R50" s="2"/>
      <c r="S50" s="2"/>
    </row>
    <row r="51" spans="1:19">
      <c r="A51" s="4"/>
      <c r="B51" s="2"/>
      <c r="C51" s="2"/>
      <c r="D51" s="2"/>
      <c r="E51" s="2"/>
      <c r="F51" s="5"/>
      <c r="G51" s="5"/>
      <c r="H51" s="5"/>
      <c r="I51" s="5"/>
      <c r="J51" s="5"/>
      <c r="K51" s="5"/>
      <c r="L51" s="5"/>
      <c r="M51" s="5"/>
      <c r="N51" s="5"/>
      <c r="O51" s="2"/>
      <c r="P51" s="2"/>
      <c r="Q51" s="2"/>
      <c r="R51" s="2"/>
      <c r="S51" s="2"/>
    </row>
    <row r="52" spans="1:19">
      <c r="A52" s="4"/>
      <c r="B52" s="2"/>
      <c r="C52" s="2"/>
      <c r="D52" s="2"/>
      <c r="E52" s="2"/>
      <c r="F52" s="5"/>
      <c r="G52" s="5"/>
      <c r="H52" s="5"/>
      <c r="I52" s="5"/>
      <c r="J52" s="5"/>
      <c r="K52" s="5"/>
      <c r="L52" s="5"/>
      <c r="M52" s="5"/>
      <c r="N52" s="5"/>
      <c r="O52" s="2"/>
      <c r="P52" s="2"/>
      <c r="Q52" s="2"/>
      <c r="R52" s="2"/>
      <c r="S52" s="2"/>
    </row>
    <row r="53" spans="1:19">
      <c r="A53" s="4"/>
      <c r="B53" s="2"/>
      <c r="C53" s="2"/>
      <c r="D53" s="2"/>
      <c r="E53" s="2"/>
      <c r="F53" s="5"/>
      <c r="G53" s="5"/>
      <c r="H53" s="5"/>
      <c r="I53" s="5"/>
      <c r="J53" s="5"/>
      <c r="K53" s="5"/>
      <c r="L53" s="5"/>
      <c r="M53" s="5"/>
      <c r="N53" s="5"/>
      <c r="O53" s="2"/>
      <c r="P53" s="2"/>
      <c r="Q53" s="2"/>
      <c r="R53" s="2"/>
      <c r="S53" s="2"/>
    </row>
    <row r="54" spans="1:19">
      <c r="A54" s="4"/>
      <c r="B54" s="2"/>
      <c r="C54" s="2"/>
      <c r="D54" s="2"/>
      <c r="E54" s="2"/>
      <c r="F54" s="5"/>
      <c r="G54" s="5"/>
      <c r="H54" s="5"/>
      <c r="I54" s="5"/>
      <c r="J54" s="5"/>
      <c r="K54" s="5"/>
      <c r="L54" s="5"/>
      <c r="M54" s="5"/>
      <c r="N54" s="5"/>
      <c r="O54" s="2"/>
      <c r="P54" s="2"/>
      <c r="Q54" s="2"/>
      <c r="R54" s="2"/>
      <c r="S54" s="2"/>
    </row>
    <row r="55" spans="1:19">
      <c r="A55" s="4"/>
      <c r="B55" s="2"/>
      <c r="C55" s="2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2"/>
      <c r="P55" s="2"/>
      <c r="Q55" s="2"/>
      <c r="R55" s="2"/>
      <c r="S55" s="2"/>
    </row>
    <row r="56" spans="1:19">
      <c r="A56" s="4"/>
      <c r="B56" s="2"/>
      <c r="C56" s="2"/>
      <c r="D56" s="2"/>
      <c r="E56" s="2"/>
      <c r="F56" s="5"/>
      <c r="G56" s="5"/>
      <c r="H56" s="5"/>
      <c r="I56" s="5"/>
      <c r="J56" s="5"/>
      <c r="K56" s="5"/>
      <c r="L56" s="5"/>
      <c r="M56" s="5"/>
      <c r="N56" s="5"/>
      <c r="O56" s="2"/>
      <c r="P56" s="2"/>
      <c r="Q56" s="2"/>
      <c r="R56" s="2"/>
      <c r="S56" s="2"/>
    </row>
    <row r="57" spans="1:19">
      <c r="A57" s="4"/>
      <c r="B57" s="2"/>
      <c r="C57" s="2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2"/>
      <c r="P57" s="2"/>
      <c r="Q57" s="2"/>
      <c r="R57" s="2"/>
      <c r="S57" s="2"/>
    </row>
    <row r="58" spans="1:19">
      <c r="A58" s="4"/>
      <c r="B58" s="2"/>
      <c r="C58" s="2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</row>
    <row r="59" spans="1:19">
      <c r="A59" s="4"/>
      <c r="B59" s="2"/>
      <c r="C59" s="2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</row>
    <row r="60" spans="1:19">
      <c r="A60" s="4"/>
      <c r="B60" s="2"/>
      <c r="C60" s="2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</row>
    <row r="61" spans="1:19">
      <c r="A61" s="4"/>
      <c r="B61" s="2"/>
      <c r="C61" s="2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</row>
    <row r="62" spans="1:19">
      <c r="A62" s="4"/>
      <c r="B62" s="2"/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</row>
    <row r="63" spans="1:19">
      <c r="A63" s="4"/>
      <c r="B63" s="2"/>
      <c r="C63" s="2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</row>
    <row r="64" spans="1:19">
      <c r="A64" s="4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</row>
    <row r="65" spans="1:19">
      <c r="A65" s="4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</row>
    <row r="66" spans="1:19">
      <c r="A66" s="4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</row>
    <row r="67" spans="1:19">
      <c r="A67" s="4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</row>
    <row r="68" spans="1:19">
      <c r="A68" s="4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</row>
    <row r="69" spans="1:19">
      <c r="A69" s="4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</row>
    <row r="70" spans="1:19">
      <c r="A70" s="4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</row>
    <row r="71" spans="1:19">
      <c r="A71" s="4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</row>
    <row r="72" spans="1:19">
      <c r="A72" s="4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</row>
    <row r="73" spans="1:19">
      <c r="A73" s="4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</row>
    <row r="74" spans="1:19">
      <c r="A74" s="4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</row>
    <row r="75" spans="1:19">
      <c r="A75" s="4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</row>
    <row r="76" spans="1:19">
      <c r="A76" s="4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</row>
    <row r="77" spans="1:19">
      <c r="A77" s="4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</row>
    <row r="78" spans="1:19">
      <c r="A78" s="4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</row>
    <row r="79" spans="1:19">
      <c r="A79" s="4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</row>
    <row r="80" spans="1:19">
      <c r="A80" s="4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</row>
    <row r="81" spans="1:19">
      <c r="A81" s="4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</row>
    <row r="82" spans="1:19">
      <c r="A82" s="4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</row>
  </sheetData>
  <phoneticPr fontId="3" type="noConversion"/>
  <dataValidations count="5">
    <dataValidation type="list" sqref="C1:C1048576">
      <formula1>"product,menu_food,context,place,brand,unknown"</formula1>
    </dataValidation>
    <dataValidation type="list" sqref="E2:E232">
      <formula1>"Y,N"</formula1>
    </dataValidation>
    <dataValidation type="list" sqref="O2:O232">
      <formula1>"KR"</formula1>
    </dataValidation>
    <dataValidation type="list" sqref="P2:P232">
      <formula1>"7"</formula1>
    </dataValidation>
    <dataValidation type="list" sqref="Q2:Q232">
      <formula1>"Food &amp; Beverage"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H6" sqref="H6"/>
    </sheetView>
  </sheetViews>
  <sheetFormatPr defaultRowHeight="14.25"/>
  <cols>
    <col min="1" max="1" width="16" customWidth="1"/>
    <col min="2" max="2" width="12" customWidth="1"/>
    <col min="3" max="3" width="20" customWidth="1"/>
    <col min="4" max="4" width="18" customWidth="1"/>
    <col min="5" max="7" width="16" customWidth="1"/>
    <col min="8" max="8" width="48" customWidth="1"/>
  </cols>
  <sheetData>
    <row r="1" spans="1:8" ht="27.95" customHeight="1">
      <c r="A1" s="1" t="s">
        <v>1</v>
      </c>
      <c r="B1" s="1" t="s">
        <v>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18</v>
      </c>
    </row>
    <row r="2" spans="1:8" ht="28.5">
      <c r="A2" s="2" t="s">
        <v>19</v>
      </c>
      <c r="B2" s="2" t="s">
        <v>20</v>
      </c>
      <c r="C2" s="2"/>
      <c r="D2" s="2"/>
      <c r="E2" s="2" t="s">
        <v>40</v>
      </c>
      <c r="F2" s="2" t="s">
        <v>33</v>
      </c>
      <c r="G2" s="2" t="s">
        <v>33</v>
      </c>
      <c r="H2" s="2" t="s">
        <v>41</v>
      </c>
    </row>
    <row r="3" spans="1:8">
      <c r="A3" s="2" t="s">
        <v>24</v>
      </c>
      <c r="B3" s="2" t="s">
        <v>25</v>
      </c>
      <c r="C3" s="2" t="s">
        <v>42</v>
      </c>
      <c r="D3" s="2" t="s">
        <v>42</v>
      </c>
      <c r="E3" s="2" t="s">
        <v>43</v>
      </c>
      <c r="F3" s="2" t="s">
        <v>21</v>
      </c>
      <c r="G3" s="2" t="s">
        <v>21</v>
      </c>
      <c r="H3" s="2" t="s">
        <v>44</v>
      </c>
    </row>
    <row r="4" spans="1:8" ht="28.5">
      <c r="A4" s="2" t="s">
        <v>28</v>
      </c>
      <c r="B4" s="2" t="s">
        <v>25</v>
      </c>
      <c r="C4" s="2" t="s">
        <v>45</v>
      </c>
      <c r="D4" s="2" t="s">
        <v>46</v>
      </c>
      <c r="E4" s="2" t="s">
        <v>47</v>
      </c>
      <c r="F4" s="2" t="s">
        <v>21</v>
      </c>
      <c r="G4" s="2" t="s">
        <v>33</v>
      </c>
      <c r="H4" s="2" t="s">
        <v>48</v>
      </c>
    </row>
    <row r="5" spans="1:8">
      <c r="A5" s="2" t="s">
        <v>29</v>
      </c>
      <c r="B5" s="2" t="s">
        <v>30</v>
      </c>
      <c r="C5" s="2"/>
      <c r="D5" s="2"/>
      <c r="E5" s="2" t="s">
        <v>40</v>
      </c>
      <c r="F5" s="2" t="s">
        <v>33</v>
      </c>
      <c r="G5" s="2" t="s">
        <v>33</v>
      </c>
      <c r="H5" s="2" t="s">
        <v>49</v>
      </c>
    </row>
    <row r="6" spans="1:8">
      <c r="A6" s="2" t="s">
        <v>32</v>
      </c>
      <c r="B6" s="2" t="s">
        <v>25</v>
      </c>
      <c r="C6" s="2" t="s">
        <v>50</v>
      </c>
      <c r="D6" s="2"/>
      <c r="E6" s="2" t="s">
        <v>47</v>
      </c>
      <c r="F6" s="2" t="s">
        <v>21</v>
      </c>
      <c r="G6" s="2" t="s">
        <v>33</v>
      </c>
      <c r="H6" s="2" t="s">
        <v>51</v>
      </c>
    </row>
    <row r="7" spans="1:8">
      <c r="A7" s="2" t="s">
        <v>34</v>
      </c>
      <c r="B7" s="2" t="s">
        <v>20</v>
      </c>
      <c r="C7" s="2"/>
      <c r="D7" s="2"/>
      <c r="E7" s="2" t="s">
        <v>40</v>
      </c>
      <c r="F7" s="2" t="s">
        <v>33</v>
      </c>
      <c r="G7" s="2" t="s">
        <v>33</v>
      </c>
      <c r="H7" s="2" t="s">
        <v>52</v>
      </c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phoneticPr fontId="3" type="noConversion"/>
  <dataValidations count="3">
    <dataValidation type="list" sqref="B2:B200">
      <formula1>"product,context,place,brand,unknown"</formula1>
    </dataValidation>
    <dataValidation type="list" sqref="E2:E200">
      <formula1>"high,medium,low"</formula1>
    </dataValidation>
    <dataValidation type="list" sqref="F2:G2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4.25"/>
  <cols>
    <col min="1" max="1" width="12" customWidth="1"/>
    <col min="2" max="2" width="16" customWidth="1"/>
    <col min="3" max="3" width="12" customWidth="1"/>
    <col min="4" max="4" width="20" customWidth="1"/>
    <col min="5" max="8" width="10" customWidth="1"/>
    <col min="9" max="17" width="12" customWidth="1"/>
    <col min="18" max="18" width="18" customWidth="1"/>
    <col min="19" max="19" width="24" customWidth="1"/>
    <col min="20" max="20" width="60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</row>
    <row r="2" spans="1:20">
      <c r="A2" s="4" t="e">
        <f>TikTok_Input!#REF!</f>
        <v>#REF!</v>
      </c>
      <c r="B2" s="2" t="e">
        <f>TikTok_Input!#REF!</f>
        <v>#REF!</v>
      </c>
      <c r="C2" s="2" t="e">
        <f>TikTok_Input!#REF!</f>
        <v>#REF!</v>
      </c>
      <c r="D2" s="2" t="str">
        <f>IFERROR(VLOOKUP(B2,Hashtag_Map!$A:$H,3,FALSE),"")</f>
        <v/>
      </c>
      <c r="E2" s="5" t="e">
        <f>TikTok_Input!#REF!</f>
        <v>#REF!</v>
      </c>
      <c r="F2" s="5" t="e">
        <f>TikTok_Input!#REF!</f>
        <v>#REF!</v>
      </c>
      <c r="G2" s="5" t="e">
        <f>TikTok_Input!#REF!</f>
        <v>#REF!</v>
      </c>
      <c r="H2" s="5" t="e">
        <f>TikTok_Input!#REF!</f>
        <v>#REF!</v>
      </c>
      <c r="I2" s="5" t="e">
        <f>TikTok_Input!#REF!</f>
        <v>#REF!</v>
      </c>
      <c r="J2" s="5" t="e">
        <f>MAX(TikTok_Input!#REF!)</f>
        <v>#REF!</v>
      </c>
      <c r="K2" s="5" t="e">
        <f>TikTok_Input!#REF!-TikTok_Input!#REF!</f>
        <v>#REF!</v>
      </c>
      <c r="L2" s="5" t="e">
        <f t="shared" ref="L2:L7" si="0">IF(E2&lt;=10,25,IF(E2&lt;=30,20,IF(E2&lt;=50,15,IF(E2&lt;=100,10,0))))</f>
        <v>#REF!</v>
      </c>
      <c r="M2" s="5" t="e">
        <f t="shared" ref="M2:M7" si="1">IF(G2&gt;=1000,35,IF(G2&gt;=500,28,IF(G2&gt;=300,22,IF(G2&gt;=100,15,IF(G2&gt;=30,8,IF(G2&gt;0,4,0))))))</f>
        <v>#REF!</v>
      </c>
      <c r="N2" s="5" t="e">
        <f t="shared" ref="N2:N7" si="2">IF(H2&gt;=100000,20,IF(H2&gt;=50000,16,IF(H2&gt;=10000,12,IF(H2&gt;=1000,8,IF(H2&gt;0,4,0)))))</f>
        <v>#REF!</v>
      </c>
      <c r="O2" s="5" t="e">
        <f>IF(TikTok_Input!#REF!="Food &amp; Beverage",15,0)</f>
        <v>#REF!</v>
      </c>
      <c r="P2" s="5" t="e">
        <f t="shared" ref="P2:P7" si="3">IF(F2="Y",5,0)</f>
        <v>#REF!</v>
      </c>
      <c r="Q2" s="5" t="e">
        <f t="shared" ref="Q2:Q7" si="4">MIN(100,L2+M2+N2+O2+P2)</f>
        <v>#REF!</v>
      </c>
      <c r="R2" s="2" t="e">
        <f t="shared" ref="R2:R7" si="5">IF(Q2&gt;=70,"TIKTOK_STRONG",IF(Q2&gt;=55,"TIKTOK_ACTIVE",IF(Q2&gt;=35,"TIKTOK_WARMING",IF(Q2&gt;=15,"TIKTOK_OBSERVED","TIKTOK_WEAK"))))</f>
        <v>#REF!</v>
      </c>
      <c r="S2" s="2" t="e">
        <f t="shared" ref="S2:S7" si="6">IF(C2="product","네이버 상품명 연결 가능",IF(C2="context","소비 맥락으로 보관",IF(C2="place","상품 판단 제외","검토 필요")))</f>
        <v>#REF!</v>
      </c>
      <c r="T2" s="2" t="e">
        <f t="shared" ref="T2:T7" si="7">IF(C2="product","TikTok 상품형 해시태그 신호입니다. 네이버 21~200위·Top20·쇼핑 클릭 반응을 검증하세요.",IF(C2="context","TikTok 소비 맥락 신호입니다. 상품명으로 바로 연결하지 말고 관련 네이버 후보가 나타나는지 관찰하세요.",IF(C2="place","장소형 해시태그입니다. EarlyPick 상품 판단에는 직접 사용하지 않습니다.","분류 검토가 필요합니다.")))</f>
        <v>#REF!</v>
      </c>
    </row>
    <row r="3" spans="1:20">
      <c r="A3" s="4" t="e">
        <f>TikTok_Input!#REF!</f>
        <v>#REF!</v>
      </c>
      <c r="B3" s="2" t="e">
        <f>TikTok_Input!#REF!</f>
        <v>#REF!</v>
      </c>
      <c r="C3" s="2" t="e">
        <f>TikTok_Input!#REF!</f>
        <v>#REF!</v>
      </c>
      <c r="D3" s="2" t="str">
        <f>IFERROR(VLOOKUP(B3,Hashtag_Map!$A:$H,3,FALSE),"")</f>
        <v/>
      </c>
      <c r="E3" s="5" t="e">
        <f>TikTok_Input!#REF!</f>
        <v>#REF!</v>
      </c>
      <c r="F3" s="5" t="e">
        <f>TikTok_Input!#REF!</f>
        <v>#REF!</v>
      </c>
      <c r="G3" s="5" t="e">
        <f>TikTok_Input!#REF!</f>
        <v>#REF!</v>
      </c>
      <c r="H3" s="5" t="e">
        <f>TikTok_Input!#REF!</f>
        <v>#REF!</v>
      </c>
      <c r="I3" s="5" t="e">
        <f>TikTok_Input!#REF!</f>
        <v>#REF!</v>
      </c>
      <c r="J3" s="5" t="e">
        <f>MAX(TikTok_Input!#REF!)</f>
        <v>#REF!</v>
      </c>
      <c r="K3" s="5" t="e">
        <f>TikTok_Input!#REF!-TikTok_Input!#REF!</f>
        <v>#REF!</v>
      </c>
      <c r="L3" s="5" t="e">
        <f t="shared" si="0"/>
        <v>#REF!</v>
      </c>
      <c r="M3" s="5" t="e">
        <f t="shared" si="1"/>
        <v>#REF!</v>
      </c>
      <c r="N3" s="5" t="e">
        <f t="shared" si="2"/>
        <v>#REF!</v>
      </c>
      <c r="O3" s="5" t="e">
        <f>IF(TikTok_Input!#REF!="Food &amp; Beverage",15,0)</f>
        <v>#REF!</v>
      </c>
      <c r="P3" s="5" t="e">
        <f t="shared" si="3"/>
        <v>#REF!</v>
      </c>
      <c r="Q3" s="5" t="e">
        <f t="shared" si="4"/>
        <v>#REF!</v>
      </c>
      <c r="R3" s="2" t="e">
        <f t="shared" si="5"/>
        <v>#REF!</v>
      </c>
      <c r="S3" s="2" t="e">
        <f t="shared" si="6"/>
        <v>#REF!</v>
      </c>
      <c r="T3" s="2" t="e">
        <f t="shared" si="7"/>
        <v>#REF!</v>
      </c>
    </row>
    <row r="4" spans="1:20">
      <c r="A4" s="4" t="e">
        <f>TikTok_Input!#REF!</f>
        <v>#REF!</v>
      </c>
      <c r="B4" s="2" t="e">
        <f>TikTok_Input!#REF!</f>
        <v>#REF!</v>
      </c>
      <c r="C4" s="2" t="e">
        <f>TikTok_Input!#REF!</f>
        <v>#REF!</v>
      </c>
      <c r="D4" s="2" t="str">
        <f>IFERROR(VLOOKUP(B4,Hashtag_Map!$A:$H,3,FALSE),"")</f>
        <v/>
      </c>
      <c r="E4" s="5" t="e">
        <f>TikTok_Input!#REF!</f>
        <v>#REF!</v>
      </c>
      <c r="F4" s="5" t="e">
        <f>TikTok_Input!#REF!</f>
        <v>#REF!</v>
      </c>
      <c r="G4" s="5" t="e">
        <f>TikTok_Input!#REF!</f>
        <v>#REF!</v>
      </c>
      <c r="H4" s="5" t="e">
        <f>TikTok_Input!#REF!</f>
        <v>#REF!</v>
      </c>
      <c r="I4" s="5" t="e">
        <f>TikTok_Input!#REF!</f>
        <v>#REF!</v>
      </c>
      <c r="J4" s="5" t="e">
        <f>MAX(TikTok_Input!#REF!)</f>
        <v>#REF!</v>
      </c>
      <c r="K4" s="5" t="e">
        <f>TikTok_Input!#REF!-TikTok_Input!#REF!</f>
        <v>#REF!</v>
      </c>
      <c r="L4" s="5" t="e">
        <f t="shared" si="0"/>
        <v>#REF!</v>
      </c>
      <c r="M4" s="5" t="e">
        <f t="shared" si="1"/>
        <v>#REF!</v>
      </c>
      <c r="N4" s="5" t="e">
        <f t="shared" si="2"/>
        <v>#REF!</v>
      </c>
      <c r="O4" s="5" t="e">
        <f>IF(TikTok_Input!#REF!="Food &amp; Beverage",15,0)</f>
        <v>#REF!</v>
      </c>
      <c r="P4" s="5" t="e">
        <f t="shared" si="3"/>
        <v>#REF!</v>
      </c>
      <c r="Q4" s="5" t="e">
        <f t="shared" si="4"/>
        <v>#REF!</v>
      </c>
      <c r="R4" s="2" t="e">
        <f t="shared" si="5"/>
        <v>#REF!</v>
      </c>
      <c r="S4" s="2" t="e">
        <f t="shared" si="6"/>
        <v>#REF!</v>
      </c>
      <c r="T4" s="2" t="e">
        <f t="shared" si="7"/>
        <v>#REF!</v>
      </c>
    </row>
    <row r="5" spans="1:20">
      <c r="A5" s="4" t="e">
        <f>TikTok_Input!#REF!</f>
        <v>#REF!</v>
      </c>
      <c r="B5" s="2" t="e">
        <f>TikTok_Input!#REF!</f>
        <v>#REF!</v>
      </c>
      <c r="C5" s="2" t="e">
        <f>TikTok_Input!#REF!</f>
        <v>#REF!</v>
      </c>
      <c r="D5" s="2" t="str">
        <f>IFERROR(VLOOKUP(B5,Hashtag_Map!$A:$H,3,FALSE),"")</f>
        <v/>
      </c>
      <c r="E5" s="5" t="e">
        <f>TikTok_Input!#REF!</f>
        <v>#REF!</v>
      </c>
      <c r="F5" s="5" t="e">
        <f>TikTok_Input!#REF!</f>
        <v>#REF!</v>
      </c>
      <c r="G5" s="5" t="e">
        <f>TikTok_Input!#REF!</f>
        <v>#REF!</v>
      </c>
      <c r="H5" s="5" t="e">
        <f>TikTok_Input!#REF!</f>
        <v>#REF!</v>
      </c>
      <c r="I5" s="5" t="e">
        <f>TikTok_Input!#REF!</f>
        <v>#REF!</v>
      </c>
      <c r="J5" s="5" t="e">
        <f>MAX(TikTok_Input!#REF!)</f>
        <v>#REF!</v>
      </c>
      <c r="K5" s="5" t="e">
        <f>TikTok_Input!#REF!-TikTok_Input!#REF!</f>
        <v>#REF!</v>
      </c>
      <c r="L5" s="5" t="e">
        <f t="shared" si="0"/>
        <v>#REF!</v>
      </c>
      <c r="M5" s="5" t="e">
        <f t="shared" si="1"/>
        <v>#REF!</v>
      </c>
      <c r="N5" s="5" t="e">
        <f t="shared" si="2"/>
        <v>#REF!</v>
      </c>
      <c r="O5" s="5" t="e">
        <f>IF(TikTok_Input!#REF!="Food &amp; Beverage",15,0)</f>
        <v>#REF!</v>
      </c>
      <c r="P5" s="5" t="e">
        <f t="shared" si="3"/>
        <v>#REF!</v>
      </c>
      <c r="Q5" s="5" t="e">
        <f t="shared" si="4"/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</row>
    <row r="6" spans="1:20">
      <c r="A6" s="4" t="e">
        <f>TikTok_Input!#REF!</f>
        <v>#REF!</v>
      </c>
      <c r="B6" s="2" t="e">
        <f>TikTok_Input!#REF!</f>
        <v>#REF!</v>
      </c>
      <c r="C6" s="2" t="e">
        <f>TikTok_Input!#REF!</f>
        <v>#REF!</v>
      </c>
      <c r="D6" s="2" t="str">
        <f>IFERROR(VLOOKUP(B6,Hashtag_Map!$A:$H,3,FALSE),"")</f>
        <v/>
      </c>
      <c r="E6" s="5" t="e">
        <f>TikTok_Input!#REF!</f>
        <v>#REF!</v>
      </c>
      <c r="F6" s="5" t="e">
        <f>TikTok_Input!#REF!</f>
        <v>#REF!</v>
      </c>
      <c r="G6" s="5" t="e">
        <f>TikTok_Input!#REF!</f>
        <v>#REF!</v>
      </c>
      <c r="H6" s="5" t="e">
        <f>TikTok_Input!#REF!</f>
        <v>#REF!</v>
      </c>
      <c r="I6" s="5" t="e">
        <f>TikTok_Input!#REF!</f>
        <v>#REF!</v>
      </c>
      <c r="J6" s="5" t="e">
        <f>MAX(TikTok_Input!#REF!)</f>
        <v>#REF!</v>
      </c>
      <c r="K6" s="5" t="e">
        <f>TikTok_Input!#REF!-TikTok_Input!#REF!</f>
        <v>#REF!</v>
      </c>
      <c r="L6" s="5" t="e">
        <f t="shared" si="0"/>
        <v>#REF!</v>
      </c>
      <c r="M6" s="5" t="e">
        <f t="shared" si="1"/>
        <v>#REF!</v>
      </c>
      <c r="N6" s="5" t="e">
        <f t="shared" si="2"/>
        <v>#REF!</v>
      </c>
      <c r="O6" s="5" t="e">
        <f>IF(TikTok_Input!#REF!="Food &amp; Beverage",15,0)</f>
        <v>#REF!</v>
      </c>
      <c r="P6" s="5" t="e">
        <f t="shared" si="3"/>
        <v>#REF!</v>
      </c>
      <c r="Q6" s="5" t="e">
        <f t="shared" si="4"/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</row>
    <row r="7" spans="1:20">
      <c r="A7" s="4" t="e">
        <f>TikTok_Input!#REF!</f>
        <v>#REF!</v>
      </c>
      <c r="B7" s="2" t="e">
        <f>TikTok_Input!#REF!</f>
        <v>#REF!</v>
      </c>
      <c r="C7" s="2" t="e">
        <f>TikTok_Input!#REF!</f>
        <v>#REF!</v>
      </c>
      <c r="D7" s="2" t="str">
        <f>IFERROR(VLOOKUP(B7,Hashtag_Map!$A:$H,3,FALSE),"")</f>
        <v/>
      </c>
      <c r="E7" s="5" t="e">
        <f>TikTok_Input!#REF!</f>
        <v>#REF!</v>
      </c>
      <c r="F7" s="5" t="e">
        <f>TikTok_Input!#REF!</f>
        <v>#REF!</v>
      </c>
      <c r="G7" s="5" t="e">
        <f>TikTok_Input!#REF!</f>
        <v>#REF!</v>
      </c>
      <c r="H7" s="5" t="e">
        <f>TikTok_Input!#REF!</f>
        <v>#REF!</v>
      </c>
      <c r="I7" s="5" t="e">
        <f>TikTok_Input!#REF!</f>
        <v>#REF!</v>
      </c>
      <c r="J7" s="5" t="e">
        <f>MAX(TikTok_Input!#REF!)</f>
        <v>#REF!</v>
      </c>
      <c r="K7" s="5" t="e">
        <f>TikTok_Input!#REF!-TikTok_Input!#REF!</f>
        <v>#REF!</v>
      </c>
      <c r="L7" s="5" t="e">
        <f t="shared" si="0"/>
        <v>#REF!</v>
      </c>
      <c r="M7" s="5" t="e">
        <f t="shared" si="1"/>
        <v>#REF!</v>
      </c>
      <c r="N7" s="5" t="e">
        <f t="shared" si="2"/>
        <v>#REF!</v>
      </c>
      <c r="O7" s="5" t="e">
        <f>IF(TikTok_Input!#REF!="Food &amp; Beverage",15,0)</f>
        <v>#REF!</v>
      </c>
      <c r="P7" s="5" t="e">
        <f t="shared" si="3"/>
        <v>#REF!</v>
      </c>
      <c r="Q7" s="5" t="e">
        <f t="shared" si="4"/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</row>
    <row r="8" spans="1:20">
      <c r="A8" s="4"/>
      <c r="B8" s="2"/>
      <c r="C8" s="2"/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2"/>
      <c r="S8" s="2"/>
      <c r="T8" s="2"/>
    </row>
    <row r="9" spans="1:20">
      <c r="A9" s="4"/>
      <c r="B9" s="2"/>
      <c r="C9" s="2"/>
      <c r="D9" s="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"/>
      <c r="S9" s="2"/>
      <c r="T9" s="2"/>
    </row>
    <row r="10" spans="1:20">
      <c r="A10" s="4"/>
      <c r="B10" s="2"/>
      <c r="C10" s="2"/>
      <c r="D10" s="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"/>
      <c r="S10" s="2"/>
      <c r="T10" s="2"/>
    </row>
    <row r="11" spans="1:20">
      <c r="A11" s="4"/>
      <c r="B11" s="2"/>
      <c r="C11" s="2"/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"/>
      <c r="S11" s="2"/>
      <c r="T11" s="2"/>
    </row>
    <row r="12" spans="1:20">
      <c r="A12" s="4"/>
      <c r="B12" s="2"/>
      <c r="C12" s="2"/>
      <c r="D12" s="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"/>
      <c r="S12" s="2"/>
      <c r="T12" s="2"/>
    </row>
    <row r="13" spans="1:20">
      <c r="A13" s="4"/>
      <c r="B13" s="2"/>
      <c r="C13" s="2"/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"/>
      <c r="S13" s="2"/>
      <c r="T13" s="2"/>
    </row>
    <row r="14" spans="1:20">
      <c r="A14" s="4"/>
      <c r="B14" s="2"/>
      <c r="C14" s="2"/>
      <c r="D14" s="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2"/>
      <c r="S14" s="2"/>
      <c r="T14" s="2"/>
    </row>
    <row r="15" spans="1:20">
      <c r="A15" s="4"/>
      <c r="B15" s="2"/>
      <c r="C15" s="2"/>
      <c r="D15" s="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</row>
    <row r="16" spans="1:20">
      <c r="A16" s="4"/>
      <c r="B16" s="2"/>
      <c r="C16" s="2"/>
      <c r="D16" s="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2"/>
      <c r="S16" s="2"/>
      <c r="T16" s="2"/>
    </row>
    <row r="17" spans="1:20">
      <c r="A17" s="4"/>
      <c r="B17" s="2"/>
      <c r="C17" s="2"/>
      <c r="D17" s="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  <c r="T17" s="2"/>
    </row>
    <row r="18" spans="1:20">
      <c r="A18" s="4"/>
      <c r="B18" s="2"/>
      <c r="C18" s="2"/>
      <c r="D18" s="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2"/>
      <c r="S18" s="2"/>
      <c r="T18" s="2"/>
    </row>
    <row r="19" spans="1:20">
      <c r="A19" s="4"/>
      <c r="B19" s="2"/>
      <c r="C19" s="2"/>
      <c r="D19" s="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"/>
      <c r="S19" s="2"/>
      <c r="T19" s="2"/>
    </row>
    <row r="20" spans="1:20">
      <c r="A20" s="4"/>
      <c r="B20" s="2"/>
      <c r="C20" s="2"/>
      <c r="D20" s="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"/>
      <c r="S20" s="2"/>
      <c r="T20" s="2"/>
    </row>
    <row r="21" spans="1:20">
      <c r="A21" s="4"/>
      <c r="B21" s="2"/>
      <c r="C21" s="2"/>
      <c r="D21" s="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"/>
      <c r="S21" s="2"/>
      <c r="T21" s="2"/>
    </row>
    <row r="22" spans="1:20">
      <c r="A22" s="4"/>
      <c r="B22" s="2"/>
      <c r="C22" s="2"/>
      <c r="D22" s="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"/>
      <c r="S22" s="2"/>
      <c r="T22" s="2"/>
    </row>
    <row r="23" spans="1:20">
      <c r="A23" s="4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"/>
      <c r="S23" s="2"/>
      <c r="T23" s="2"/>
    </row>
    <row r="24" spans="1:20">
      <c r="A24" s="4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2"/>
      <c r="S24" s="2"/>
      <c r="T24" s="2"/>
    </row>
    <row r="25" spans="1:20">
      <c r="A25" s="4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"/>
      <c r="S25" s="2"/>
      <c r="T25" s="2"/>
    </row>
    <row r="26" spans="1:20">
      <c r="A26" s="4"/>
      <c r="B26" s="2"/>
      <c r="C26" s="2"/>
      <c r="D26" s="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"/>
      <c r="S26" s="2"/>
      <c r="T26" s="2"/>
    </row>
    <row r="27" spans="1:20">
      <c r="A27" s="4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"/>
      <c r="S27" s="2"/>
      <c r="T27" s="2"/>
    </row>
    <row r="28" spans="1:20">
      <c r="A28" s="4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"/>
      <c r="S28" s="2"/>
      <c r="T28" s="2"/>
    </row>
    <row r="29" spans="1:20">
      <c r="A29" s="4"/>
      <c r="B29" s="2"/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  <c r="T29" s="2"/>
    </row>
    <row r="30" spans="1:20">
      <c r="A30" s="4"/>
      <c r="B30" s="2"/>
      <c r="C30" s="2"/>
      <c r="D30" s="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"/>
      <c r="S30" s="2"/>
      <c r="T30" s="2"/>
    </row>
    <row r="31" spans="1:20">
      <c r="A31" s="4"/>
      <c r="B31" s="2"/>
      <c r="C31" s="2"/>
      <c r="D31" s="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"/>
      <c r="S31" s="2"/>
      <c r="T31" s="2"/>
    </row>
    <row r="32" spans="1:20">
      <c r="A32" s="4"/>
      <c r="B32" s="2"/>
      <c r="C32" s="2"/>
      <c r="D32" s="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"/>
      <c r="S32" s="2"/>
      <c r="T32" s="2"/>
    </row>
    <row r="33" spans="1:20">
      <c r="A33" s="4"/>
      <c r="B33" s="2"/>
      <c r="C33" s="2"/>
      <c r="D33" s="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"/>
      <c r="S33" s="2"/>
      <c r="T33" s="2"/>
    </row>
    <row r="34" spans="1:20">
      <c r="A34" s="4"/>
      <c r="B34" s="2"/>
      <c r="C34" s="2"/>
      <c r="D34" s="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"/>
      <c r="S34" s="2"/>
      <c r="T34" s="2"/>
    </row>
    <row r="35" spans="1:20">
      <c r="A35" s="4"/>
      <c r="B35" s="2"/>
      <c r="C35" s="2"/>
      <c r="D35" s="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"/>
      <c r="S35" s="2"/>
      <c r="T35" s="2"/>
    </row>
    <row r="36" spans="1:20">
      <c r="A36" s="4"/>
      <c r="B36" s="2"/>
      <c r="C36" s="2"/>
      <c r="D36" s="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"/>
      <c r="S36" s="2"/>
      <c r="T36" s="2"/>
    </row>
    <row r="37" spans="1:20">
      <c r="A37" s="4"/>
      <c r="B37" s="2"/>
      <c r="C37" s="2"/>
      <c r="D37" s="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"/>
      <c r="S37" s="2"/>
      <c r="T37" s="2"/>
    </row>
    <row r="38" spans="1:20">
      <c r="A38" s="4"/>
      <c r="B38" s="2"/>
      <c r="C38" s="2"/>
      <c r="D38" s="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"/>
      <c r="S38" s="2"/>
      <c r="T38" s="2"/>
    </row>
    <row r="39" spans="1:20">
      <c r="A39" s="4"/>
      <c r="B39" s="2"/>
      <c r="C39" s="2"/>
      <c r="D39" s="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"/>
      <c r="S39" s="2"/>
      <c r="T39" s="2"/>
    </row>
    <row r="40" spans="1:20">
      <c r="A40" s="4"/>
      <c r="B40" s="2"/>
      <c r="C40" s="2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"/>
      <c r="S40" s="2"/>
      <c r="T40" s="2"/>
    </row>
    <row r="41" spans="1:20">
      <c r="A41" s="4"/>
      <c r="B41" s="2"/>
      <c r="C41" s="2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  <c r="T41" s="2"/>
    </row>
    <row r="42" spans="1:20">
      <c r="A42" s="4"/>
      <c r="B42" s="2"/>
      <c r="C42" s="2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"/>
      <c r="S42" s="2"/>
      <c r="T42" s="2"/>
    </row>
    <row r="43" spans="1:20">
      <c r="A43" s="4"/>
      <c r="B43" s="2"/>
      <c r="C43" s="2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"/>
      <c r="S43" s="2"/>
      <c r="T43" s="2"/>
    </row>
    <row r="44" spans="1:20">
      <c r="A44" s="4"/>
      <c r="B44" s="2"/>
      <c r="C44" s="2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2"/>
      <c r="S44" s="2"/>
      <c r="T44" s="2"/>
    </row>
    <row r="45" spans="1:20">
      <c r="A45" s="4"/>
      <c r="B45" s="2"/>
      <c r="C45" s="2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"/>
      <c r="S45" s="2"/>
      <c r="T45" s="2"/>
    </row>
    <row r="46" spans="1:20">
      <c r="A46" s="4"/>
      <c r="B46" s="2"/>
      <c r="C46" s="2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2"/>
      <c r="S46" s="2"/>
      <c r="T46" s="2"/>
    </row>
    <row r="47" spans="1:20">
      <c r="A47" s="4"/>
      <c r="B47" s="2"/>
      <c r="C47" s="2"/>
      <c r="D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"/>
      <c r="S47" s="2"/>
      <c r="T47" s="2"/>
    </row>
    <row r="48" spans="1:20">
      <c r="A48" s="4"/>
      <c r="B48" s="2"/>
      <c r="C48" s="2"/>
      <c r="D48" s="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2"/>
      <c r="S48" s="2"/>
      <c r="T48" s="2"/>
    </row>
    <row r="49" spans="1:20">
      <c r="A49" s="4"/>
      <c r="B49" s="2"/>
      <c r="C49" s="2"/>
      <c r="D49" s="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"/>
      <c r="S49" s="2"/>
      <c r="T49" s="2"/>
    </row>
    <row r="50" spans="1:20">
      <c r="A50" s="4"/>
      <c r="B50" s="2"/>
      <c r="C50" s="2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2"/>
      <c r="S50" s="2"/>
      <c r="T50" s="2"/>
    </row>
  </sheetData>
  <phoneticPr fontId="3" type="noConversion"/>
  <conditionalFormatting sqref="Q2:Q50">
    <cfRule type="dataBar" priority="1">
      <dataBar>
        <cfvo type="min"/>
        <cfvo type="max"/>
        <color rgb="FFF97316"/>
      </dataBar>
    </cfRule>
  </conditionalFormatting>
  <conditionalFormatting sqref="R2:R50">
    <cfRule type="expression" dxfId="2" priority="2">
      <formula>R2="TIKTOK_STRONG"</formula>
    </cfRule>
    <cfRule type="expression" dxfId="1" priority="3">
      <formula>R2="TIKTOK_WARMING"</formula>
    </cfRule>
    <cfRule type="expression" dxfId="0" priority="4">
      <formula>R2="TIKTOK_OBSERVED"</formula>
    </cfRule>
  </conditionalFormatting>
  <conditionalFormatting sqref="Q2:Q50">
    <cfRule type="dataBar" priority="5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{E5DFA2C5-2F43-F7B3-8227-E435596C2A16}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FA2C5-2F43-F7B3-8227-E435596C2A16}">
            <x14:dataBar>
              <x14:cfvo type="min"/>
              <x14:cfvo type="max"/>
              <x14:negativeFillColor auto="1"/>
              <x14:axisColor auto="1"/>
            </x14:dataBar>
          </x14:cfRule>
          <xm:sqref>Q2:Q50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0" sqref="B10"/>
    </sheetView>
  </sheetViews>
  <sheetFormatPr defaultRowHeight="14.25"/>
  <cols>
    <col min="1" max="1" width="24" customWidth="1"/>
    <col min="2" max="2" width="90" customWidth="1"/>
  </cols>
  <sheetData>
    <row r="1" spans="1:2" ht="27.95" customHeight="1">
      <c r="A1" s="1" t="s">
        <v>65</v>
      </c>
      <c r="B1" s="1" t="s">
        <v>88</v>
      </c>
    </row>
    <row r="2" spans="1:2">
      <c r="A2" s="2" t="s">
        <v>66</v>
      </c>
      <c r="B2" s="2" t="s">
        <v>67</v>
      </c>
    </row>
    <row r="3" spans="1:2">
      <c r="A3" s="2" t="s">
        <v>68</v>
      </c>
      <c r="B3" s="2" t="s">
        <v>69</v>
      </c>
    </row>
    <row r="4" spans="1:2">
      <c r="A4" s="2" t="s">
        <v>70</v>
      </c>
      <c r="B4" s="2" t="s">
        <v>71</v>
      </c>
    </row>
    <row r="5" spans="1:2">
      <c r="A5" s="2" t="s">
        <v>72</v>
      </c>
      <c r="B5" s="2" t="s">
        <v>73</v>
      </c>
    </row>
    <row r="6" spans="1:2">
      <c r="A6" s="2" t="s">
        <v>74</v>
      </c>
      <c r="B6" s="2" t="s">
        <v>75</v>
      </c>
    </row>
    <row r="7" spans="1:2">
      <c r="A7" s="2" t="s">
        <v>76</v>
      </c>
      <c r="B7" s="2" t="s">
        <v>77</v>
      </c>
    </row>
    <row r="8" spans="1:2">
      <c r="A8" s="2" t="s">
        <v>78</v>
      </c>
      <c r="B8" s="2" t="s">
        <v>79</v>
      </c>
    </row>
    <row r="9" spans="1:2">
      <c r="A9" s="2" t="s">
        <v>80</v>
      </c>
      <c r="B9" s="2" t="s">
        <v>81</v>
      </c>
    </row>
    <row r="10" spans="1:2">
      <c r="A10" s="2" t="s">
        <v>82</v>
      </c>
      <c r="B10" s="2" t="s">
        <v>83</v>
      </c>
    </row>
    <row r="11" spans="1:2">
      <c r="A11" s="2" t="s">
        <v>84</v>
      </c>
      <c r="B11" s="2" t="s">
        <v>85</v>
      </c>
    </row>
    <row r="12" spans="1:2">
      <c r="A12" s="2" t="s">
        <v>86</v>
      </c>
      <c r="B12" s="2" t="s">
        <v>87</v>
      </c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TikTok_Input</vt:lpstr>
      <vt:lpstr>Hashtag_Map</vt:lpstr>
      <vt:lpstr>Feature_Output_Example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UserK</dc:creator>
  <cp:lastModifiedBy>UserK</cp:lastModifiedBy>
  <dcterms:created xsi:type="dcterms:W3CDTF">2026-05-10T14:50:12Z</dcterms:created>
  <dcterms:modified xsi:type="dcterms:W3CDTF">2026-05-14T12:58:14Z</dcterms:modified>
</cp:coreProperties>
</file>